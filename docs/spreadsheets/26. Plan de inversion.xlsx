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140" tabRatio="600" firstSheet="0" activeTab="0" autoFilterDateGrouping="1"/>
  </bookViews>
  <sheets>
    <sheet name="Hoja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10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16" fontId="0" fillId="0" borderId="0" pivotButton="0" quotePrefix="0" xfId="0"/>
    <xf numFmtId="164" fontId="0" fillId="0" borderId="0" pivotButton="0" quotePrefix="0" xfId="1"/>
    <xf numFmtId="164" fontId="0" fillId="0" borderId="0" pivotButton="0" quotePrefix="0" xfId="0"/>
    <xf numFmtId="9" fontId="0" fillId="0" borderId="0" pivotButton="0" quotePrefix="0" xfId="2"/>
    <xf numFmtId="0" fontId="0" fillId="3" borderId="0" applyAlignment="1" pivotButton="0" quotePrefix="0" xfId="0">
      <alignment horizontal="center" vertical="center" wrapText="1"/>
    </xf>
    <xf numFmtId="0" fontId="0" fillId="5" borderId="1" pivotButton="0" quotePrefix="0" xfId="0"/>
    <xf numFmtId="9" fontId="0" fillId="5" borderId="1" pivotButton="0" quotePrefix="0" xfId="2"/>
    <xf numFmtId="164" fontId="0" fillId="5" borderId="1" pivotButton="0" quotePrefix="0" xfId="0"/>
    <xf numFmtId="0" fontId="0" fillId="6" borderId="1" pivotButton="0" quotePrefix="0" xfId="0"/>
    <xf numFmtId="9" fontId="0" fillId="6" borderId="1" pivotButton="0" quotePrefix="0" xfId="2"/>
    <xf numFmtId="164" fontId="0" fillId="0" borderId="1" pivotButton="0" quotePrefix="0" xfId="1"/>
    <xf numFmtId="0" fontId="0" fillId="3" borderId="1" pivotButton="0" quotePrefix="0" xfId="0"/>
    <xf numFmtId="0" fontId="0" fillId="7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9" fontId="0" fillId="3" borderId="0" applyAlignment="1" pivotButton="0" quotePrefix="0" xfId="2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8" borderId="1" pivotButton="0" quotePrefix="0" xfId="0"/>
    <xf numFmtId="164" fontId="0" fillId="8" borderId="0" pivotButton="0" quotePrefix="0" xfId="1"/>
    <xf numFmtId="9" fontId="0" fillId="8" borderId="0" pivotButton="0" quotePrefix="0" xfId="0"/>
    <xf numFmtId="0" fontId="0" fillId="8" borderId="0" pivotButton="0" quotePrefix="0" xfId="0"/>
    <xf numFmtId="0" fontId="0" fillId="7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7" borderId="3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16" fontId="0" fillId="7" borderId="2" applyAlignment="1" pivotButton="0" quotePrefix="0" xfId="0">
      <alignment horizontal="center" vertical="center" wrapText="1"/>
    </xf>
    <xf numFmtId="16" fontId="0" fillId="7" borderId="4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/>
    </xf>
    <xf numFmtId="0" fontId="0" fillId="0" borderId="5" pivotButton="0" quotePrefix="0" xfId="0"/>
    <xf numFmtId="0" fontId="0" fillId="0" borderId="4" pivotButton="0" quotePrefix="0" xfId="0"/>
    <xf numFmtId="16" fontId="0" fillId="7" borderId="1" applyAlignment="1" pivotButton="0" quotePrefix="0" xfId="0">
      <alignment horizontal="center" vertical="center" wrapText="1"/>
    </xf>
    <xf numFmtId="164" fontId="0" fillId="5" borderId="1" pivotButton="0" quotePrefix="0" xfId="0"/>
    <xf numFmtId="164" fontId="0" fillId="0" borderId="0" pivotButton="0" quotePrefix="0" xfId="1"/>
    <xf numFmtId="164" fontId="0" fillId="0" borderId="0" pivotButton="0" quotePrefix="0" xfId="0"/>
    <xf numFmtId="164" fontId="0" fillId="8" borderId="0" pivotButton="0" quotePrefix="0" xfId="1"/>
    <xf numFmtId="164" fontId="0" fillId="0" borderId="1" pivotButton="0" quotePrefix="0" xfId="1"/>
  </cellXfs>
  <cellStyles count="3">
    <cellStyle name="Normal" xfId="0" builtinId="0"/>
    <cellStyle name="Millares" xfId="1" builtinId="3"/>
    <cellStyle name="Porcentaje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"/>
  <sheetViews>
    <sheetView tabSelected="1" zoomScaleNormal="100" workbookViewId="0">
      <pane xSplit="2" ySplit="4" topLeftCell="E5" activePane="bottomRight" state="frozen"/>
      <selection pane="topRight" activeCell="B1" sqref="B1"/>
      <selection pane="bottomLeft" activeCell="A3" sqref="A3"/>
      <selection pane="bottomRight" activeCell="O5" sqref="O5"/>
    </sheetView>
  </sheetViews>
  <sheetFormatPr baseColWidth="10" defaultRowHeight="15"/>
  <cols>
    <col width="9.7109375" bestFit="1" customWidth="1" min="2" max="2"/>
    <col width="7.42578125" bestFit="1" customWidth="1" min="3" max="3"/>
    <col width="10.5703125" customWidth="1" min="4" max="4"/>
    <col width="19.85546875" bestFit="1" customWidth="1" min="5" max="5"/>
    <col width="20.140625" customWidth="1" min="6" max="6"/>
    <col width="12" customWidth="1" min="7" max="7"/>
    <col width="19.42578125" customWidth="1" min="8" max="8"/>
    <col width="16.85546875" customWidth="1" min="9" max="9"/>
    <col width="18.28515625" bestFit="1" customWidth="1" min="10" max="10"/>
    <col width="11.5703125" customWidth="1" min="11" max="11"/>
    <col width="14.7109375" customWidth="1" min="13" max="13"/>
    <col width="10" bestFit="1" customWidth="1" min="14" max="14"/>
    <col width="11.140625" customWidth="1" min="15" max="15"/>
    <col width="11.7109375" customWidth="1" style="4" min="16" max="16"/>
  </cols>
  <sheetData>
    <row r="1" ht="18.75" customHeight="1">
      <c r="A1" s="13" t="n"/>
      <c r="B1" s="13" t="n"/>
      <c r="C1" s="27" t="inlineStr">
        <is>
          <t>Nombre</t>
        </is>
      </c>
      <c r="F1" s="30" t="inlineStr">
        <is>
          <t>Fecha de Inicio</t>
        </is>
      </c>
      <c r="H1" s="27" t="inlineStr">
        <is>
          <t>Profit Acumulado</t>
        </is>
      </c>
      <c r="K1" s="34" t="inlineStr">
        <is>
          <t>NOTA: SOLO EDITAR LO QUE ESTÁ EN COLOR AMARILLO</t>
        </is>
      </c>
    </row>
    <row r="2">
      <c r="A2" s="13" t="n"/>
      <c r="B2" s="13" t="n"/>
      <c r="C2" s="28" t="n"/>
      <c r="D2" s="35" t="n"/>
      <c r="E2" s="36" t="n"/>
      <c r="F2" s="37" t="n">
        <v>45098</v>
      </c>
      <c r="G2" s="36" t="n"/>
      <c r="H2" s="6" t="inlineStr">
        <is>
          <t xml:space="preserve">Profit Acumulado % </t>
        </is>
      </c>
      <c r="I2" s="6" t="inlineStr">
        <is>
          <t xml:space="preserve">Profit Acumulado </t>
        </is>
      </c>
    </row>
    <row r="3">
      <c r="A3" s="13" t="n"/>
      <c r="B3" s="13" t="n"/>
      <c r="C3" s="26" t="inlineStr">
        <is>
          <t>SALDO INICIAL</t>
        </is>
      </c>
      <c r="D3" s="36" t="n"/>
      <c r="E3" s="18" t="n">
        <v>100</v>
      </c>
      <c r="F3" s="17" t="inlineStr">
        <is>
          <t>Profit diario Plan</t>
        </is>
      </c>
      <c r="G3" s="20" t="n">
        <v>0.05</v>
      </c>
      <c r="H3" s="7">
        <f>I3/E5</f>
        <v/>
      </c>
      <c r="I3" s="38">
        <f>SUM(L5:L268)</f>
        <v/>
      </c>
      <c r="L3" s="24" t="inlineStr">
        <is>
          <t>Total trade</t>
        </is>
      </c>
      <c r="M3" s="36" t="n"/>
      <c r="N3" s="9">
        <f>SUM(N5:N268)</f>
        <v/>
      </c>
      <c r="O3" s="9">
        <f>SUM(O5:O268)</f>
        <v/>
      </c>
      <c r="P3" s="10">
        <f>IFERROR(O3/N3,0)</f>
        <v/>
      </c>
    </row>
    <row r="4" ht="38.25" customHeight="1">
      <c r="A4" s="13" t="n"/>
      <c r="B4" s="13" t="n"/>
      <c r="C4" s="12" t="inlineStr">
        <is>
          <t>fechas</t>
        </is>
      </c>
      <c r="D4" s="14" t="inlineStr">
        <is>
          <t>Depositos y retiros</t>
        </is>
      </c>
      <c r="E4" s="5" t="inlineStr">
        <is>
          <t>Saldo Inicial del plan</t>
        </is>
      </c>
      <c r="F4" s="15" t="inlineStr">
        <is>
          <t>Saldo ajustado teorico</t>
        </is>
      </c>
      <c r="G4" s="15" t="inlineStr">
        <is>
          <t>Saldo real</t>
        </is>
      </c>
      <c r="H4" s="15" t="inlineStr">
        <is>
          <t>saldo a cerrar</t>
        </is>
      </c>
      <c r="I4" s="5" t="inlineStr">
        <is>
          <t>Saldo AL FINAL DEL DÍA</t>
        </is>
      </c>
      <c r="J4" s="15" t="inlineStr">
        <is>
          <t>minimo a ganar</t>
        </is>
      </c>
      <c r="K4" s="5" t="inlineStr">
        <is>
          <t>Min.  ganar real</t>
        </is>
      </c>
      <c r="L4" s="5" t="inlineStr">
        <is>
          <t xml:space="preserve"> Profit ganado</t>
        </is>
      </c>
      <c r="M4" s="5" t="inlineStr">
        <is>
          <t>Cumplimiento</t>
        </is>
      </c>
      <c r="N4" s="5" t="inlineStr">
        <is>
          <t>Trade realizados</t>
        </is>
      </c>
      <c r="O4" s="5" t="inlineStr">
        <is>
          <t>Trades Efectivos</t>
        </is>
      </c>
      <c r="P4" s="16" t="inlineStr">
        <is>
          <t>%  efectivos</t>
        </is>
      </c>
    </row>
    <row r="5">
      <c r="A5" s="22" t="inlineStr">
        <is>
          <t xml:space="preserve">Notas </t>
        </is>
      </c>
      <c r="C5" s="1" t="n">
        <v>45976</v>
      </c>
      <c r="D5" s="21" t="n">
        <v>0</v>
      </c>
      <c r="E5" s="39" t="n">
        <v>1000</v>
      </c>
      <c r="F5" s="39" t="n">
        <v>1000</v>
      </c>
      <c r="G5" s="40" t="n">
        <v>1000</v>
      </c>
      <c r="H5" s="39" t="n">
        <v>1050</v>
      </c>
      <c r="I5" s="41" t="n">
        <v>961.33</v>
      </c>
      <c r="J5" s="39" t="n">
        <v>50</v>
      </c>
      <c r="K5" s="39" t="n">
        <v>50</v>
      </c>
      <c r="L5" s="40" t="n">
        <v>-38.67</v>
      </c>
      <c r="M5" s="4" t="n">
        <v>0</v>
      </c>
      <c r="N5" s="21" t="n">
        <v>7</v>
      </c>
      <c r="O5" s="21" t="n">
        <v>2</v>
      </c>
      <c r="P5" s="4" t="n">
        <v>0.2857</v>
      </c>
    </row>
    <row r="6">
      <c r="A6" s="23" t="n"/>
      <c r="B6" s="36" t="n"/>
      <c r="C6" s="1">
        <f>C5+1</f>
        <v/>
      </c>
      <c r="D6" s="21" t="n"/>
      <c r="E6" s="39">
        <f>D6+E5+J5</f>
        <v/>
      </c>
      <c r="F6" s="39">
        <f>IF(I5=0,(F5*$G$3+F5)-D5,I5-D5)</f>
        <v/>
      </c>
      <c r="G6" s="39">
        <f>IF(I5=0,0,I5-D5)</f>
        <v/>
      </c>
      <c r="H6" s="39">
        <f>(E6*$G$3)+E6</f>
        <v/>
      </c>
      <c r="I6" s="41" t="n"/>
      <c r="J6" s="39">
        <f>E6*$G$3</f>
        <v/>
      </c>
      <c r="K6" s="39">
        <f>G6*$G$3</f>
        <v/>
      </c>
      <c r="L6" s="40">
        <f>IF(I6=0,0,I6-G6)</f>
        <v/>
      </c>
      <c r="M6" s="4">
        <f>IFERROR(L6/G6,0)</f>
        <v/>
      </c>
      <c r="N6" s="21" t="n"/>
      <c r="O6" s="21" t="n"/>
      <c r="P6" s="4">
        <f>IFERROR(O6/N6,0)</f>
        <v/>
      </c>
    </row>
    <row r="7">
      <c r="A7" s="23" t="n"/>
      <c r="B7" s="36" t="n"/>
      <c r="C7" s="1">
        <f>C6+1</f>
        <v/>
      </c>
      <c r="D7" s="21" t="n"/>
      <c r="E7" s="39">
        <f>D7+E6+J6</f>
        <v/>
      </c>
      <c r="F7" s="39">
        <f>IF(I6=0,(F6*$G$3+F6)-D6,I6-D6)</f>
        <v/>
      </c>
      <c r="G7" s="39">
        <f>IF(I6=0,0,I6-D6)</f>
        <v/>
      </c>
      <c r="H7" s="39">
        <f>(E7*$G$3)+E7</f>
        <v/>
      </c>
      <c r="I7" s="41" t="n"/>
      <c r="J7" s="39">
        <f>E7*$G$3</f>
        <v/>
      </c>
      <c r="K7" s="39">
        <f>G7*$G$3</f>
        <v/>
      </c>
      <c r="L7" s="40">
        <f>I7-G7</f>
        <v/>
      </c>
      <c r="M7" s="4">
        <f>IFERROR(L7/G7,0)</f>
        <v/>
      </c>
      <c r="N7" s="21" t="n"/>
      <c r="O7" s="21" t="n"/>
      <c r="P7" s="4">
        <f>IFERROR(O7/N7,0)</f>
        <v/>
      </c>
    </row>
    <row r="8">
      <c r="A8" s="23" t="n"/>
      <c r="B8" s="36" t="n"/>
      <c r="C8" s="1">
        <f>C7+1</f>
        <v/>
      </c>
      <c r="D8" s="21" t="n"/>
      <c r="E8" s="39">
        <f>D8+E7+J7</f>
        <v/>
      </c>
      <c r="F8" s="39">
        <f>IF(I7=0,(F7*$G$3+F7)-D7,I7-D7)</f>
        <v/>
      </c>
      <c r="G8" s="39">
        <f>IF(I7=0,0,I7-D7)</f>
        <v/>
      </c>
      <c r="H8" s="39">
        <f>(E8*$G$3)+E8</f>
        <v/>
      </c>
      <c r="I8" s="41" t="n"/>
      <c r="J8" s="39">
        <f>E8*$G$3</f>
        <v/>
      </c>
      <c r="K8" s="39">
        <f>G8*$G$3</f>
        <v/>
      </c>
      <c r="L8" s="40">
        <f>I8-G8</f>
        <v/>
      </c>
      <c r="M8" s="4">
        <f>IFERROR(L8/G8,0)</f>
        <v/>
      </c>
      <c r="N8" s="21" t="n"/>
      <c r="O8" s="21" t="n"/>
      <c r="P8" s="4">
        <f>IFERROR(O8/N8,0)</f>
        <v/>
      </c>
    </row>
    <row r="9">
      <c r="A9" s="23" t="n"/>
      <c r="B9" s="36" t="n"/>
      <c r="C9" s="1">
        <f>C8+1</f>
        <v/>
      </c>
      <c r="D9" s="21" t="n"/>
      <c r="E9" s="39">
        <f>D9+E8+J8</f>
        <v/>
      </c>
      <c r="F9" s="39">
        <f>IF(I8=0,(F8*$G$3+F8)-D8,I8-D8)</f>
        <v/>
      </c>
      <c r="G9" s="39">
        <f>IF(I8=0,0,I8-D8)</f>
        <v/>
      </c>
      <c r="H9" s="39">
        <f>(E9*$G$3)+E9</f>
        <v/>
      </c>
      <c r="I9" s="41" t="n"/>
      <c r="J9" s="39">
        <f>E9*$G$3</f>
        <v/>
      </c>
      <c r="K9" s="39">
        <f>G9*$G$3</f>
        <v/>
      </c>
      <c r="L9" s="40">
        <f>I9-G9</f>
        <v/>
      </c>
      <c r="M9" s="4">
        <f>IFERROR(L9/G9,0)</f>
        <v/>
      </c>
      <c r="N9" s="21" t="n"/>
      <c r="O9" s="21" t="n"/>
      <c r="P9" s="4">
        <f>IFERROR(O9/N9,0)</f>
        <v/>
      </c>
    </row>
    <row r="10">
      <c r="A10" s="23" t="n"/>
      <c r="B10" s="36" t="n"/>
      <c r="C10" s="1">
        <f>C9+1</f>
        <v/>
      </c>
      <c r="D10" s="21" t="n"/>
      <c r="E10" s="39">
        <f>D10+E9+J9</f>
        <v/>
      </c>
      <c r="F10" s="39">
        <f>IF(I9=0,(F9*$G$3+F9)-D9,I9-D9)</f>
        <v/>
      </c>
      <c r="G10" s="39">
        <f>IF(I9=0,0,I9-D9)</f>
        <v/>
      </c>
      <c r="H10" s="39">
        <f>(E10*$G$3)+E10</f>
        <v/>
      </c>
      <c r="I10" s="41" t="n"/>
      <c r="J10" s="39">
        <f>E10*$G$3</f>
        <v/>
      </c>
      <c r="K10" s="39">
        <f>G10*$G$3</f>
        <v/>
      </c>
      <c r="L10" s="40">
        <f>I10-G10</f>
        <v/>
      </c>
      <c r="M10" s="4">
        <f>IFERROR(L10/G10,0)</f>
        <v/>
      </c>
      <c r="N10" s="21" t="n"/>
      <c r="O10" s="21" t="n"/>
      <c r="P10" s="4">
        <f>IFERROR(O10/N10,0)</f>
        <v/>
      </c>
    </row>
    <row r="11">
      <c r="A11" s="23" t="n"/>
      <c r="B11" s="36" t="n"/>
      <c r="C11" s="1">
        <f>C10+1</f>
        <v/>
      </c>
      <c r="D11" s="21" t="n"/>
      <c r="E11" s="39">
        <f>D11+E10+J10</f>
        <v/>
      </c>
      <c r="F11" s="39">
        <f>IF(I10=0,(F10*$G$3+F10)-D10,I10-D10)</f>
        <v/>
      </c>
      <c r="G11" s="39">
        <f>IF(I10=0,0,I10-D10)</f>
        <v/>
      </c>
      <c r="H11" s="39">
        <f>(E11*$G$3)+E11</f>
        <v/>
      </c>
      <c r="I11" s="41" t="n"/>
      <c r="J11" s="39">
        <f>E11*$G$3</f>
        <v/>
      </c>
      <c r="K11" s="39">
        <f>G11*$G$3</f>
        <v/>
      </c>
      <c r="L11" s="40">
        <f>I11-G11</f>
        <v/>
      </c>
      <c r="M11" s="4">
        <f>IFERROR(L11/G11,0)</f>
        <v/>
      </c>
      <c r="N11" s="21" t="n"/>
      <c r="O11" s="21" t="n"/>
      <c r="P11" s="4">
        <f>IFERROR(O11/N11,0)</f>
        <v/>
      </c>
    </row>
    <row r="12">
      <c r="A12" s="23" t="n"/>
      <c r="B12" s="36" t="n"/>
      <c r="C12" s="1">
        <f>C11+1</f>
        <v/>
      </c>
      <c r="D12" s="21" t="n"/>
      <c r="E12" s="39">
        <f>D12+E11+J11</f>
        <v/>
      </c>
      <c r="F12" s="39">
        <f>IF(I11=0,(F11*$G$3+F11)-D11,I11-D11)</f>
        <v/>
      </c>
      <c r="G12" s="39">
        <f>IF(I11=0,0,I11-D11)</f>
        <v/>
      </c>
      <c r="H12" s="39">
        <f>(E12*$G$3)+E12</f>
        <v/>
      </c>
      <c r="I12" s="41" t="n"/>
      <c r="J12" s="39">
        <f>E12*$G$3</f>
        <v/>
      </c>
      <c r="K12" s="39">
        <f>G12*$G$3</f>
        <v/>
      </c>
      <c r="L12" s="40" t="n"/>
      <c r="M12" s="4">
        <f>IFERROR(L12/G12,0)</f>
        <v/>
      </c>
      <c r="N12" s="21" t="n"/>
      <c r="O12" s="21" t="n"/>
      <c r="P12" s="4">
        <f>IFERROR(O12/N12,0)</f>
        <v/>
      </c>
    </row>
    <row r="13">
      <c r="A13" s="23" t="n"/>
      <c r="B13" s="36" t="n"/>
      <c r="C13" s="1">
        <f>C12+1</f>
        <v/>
      </c>
      <c r="D13" s="21" t="n"/>
      <c r="E13" s="39">
        <f>D13+E12+J12</f>
        <v/>
      </c>
      <c r="F13" s="39">
        <f>IF(I12=0,(F12*$G$3+F12)-D12,I12-D12)</f>
        <v/>
      </c>
      <c r="G13" s="39">
        <f>IF(I12=0,0,I12-D12)</f>
        <v/>
      </c>
      <c r="H13" s="39">
        <f>(E13*$G$3)+E13</f>
        <v/>
      </c>
      <c r="I13" s="41" t="n"/>
      <c r="J13" s="39">
        <f>E13*$G$3</f>
        <v/>
      </c>
      <c r="K13" s="39">
        <f>G13*$G$3</f>
        <v/>
      </c>
      <c r="L13" s="40">
        <f>I13-G13</f>
        <v/>
      </c>
      <c r="M13" s="4">
        <f>IFERROR(L13/G13,0)</f>
        <v/>
      </c>
      <c r="N13" s="21" t="n"/>
      <c r="O13" s="21" t="n"/>
      <c r="P13" s="4">
        <f>IFERROR(O13/N13,0)</f>
        <v/>
      </c>
    </row>
    <row r="14">
      <c r="A14" s="23" t="n"/>
      <c r="B14" s="36" t="n"/>
      <c r="C14" s="1">
        <f>C13+1</f>
        <v/>
      </c>
      <c r="D14" s="21" t="n"/>
      <c r="E14" s="39">
        <f>D14+E13+J13</f>
        <v/>
      </c>
      <c r="F14" s="39">
        <f>IF(I13=0,(F13*$G$3+F13)-D13,I13-D13)</f>
        <v/>
      </c>
      <c r="G14" s="39">
        <f>IF(I13=0,0,I13-D13)</f>
        <v/>
      </c>
      <c r="H14" s="39">
        <f>(E14*$G$3)+E14</f>
        <v/>
      </c>
      <c r="I14" s="41" t="n"/>
      <c r="J14" s="39">
        <f>E14*$G$3</f>
        <v/>
      </c>
      <c r="K14" s="39">
        <f>G14*$G$3</f>
        <v/>
      </c>
      <c r="L14" s="40">
        <f>I14-G14</f>
        <v/>
      </c>
      <c r="M14" s="4">
        <f>IFERROR(L14/G14,0)</f>
        <v/>
      </c>
      <c r="N14" s="21" t="n"/>
      <c r="O14" s="21" t="n"/>
      <c r="P14" s="4">
        <f>IFERROR(O14/N14,0)</f>
        <v/>
      </c>
    </row>
    <row r="15">
      <c r="A15" s="23" t="n"/>
      <c r="B15" s="36" t="n"/>
      <c r="C15" s="1">
        <f>C14+1</f>
        <v/>
      </c>
      <c r="D15" s="21" t="n"/>
      <c r="E15" s="39">
        <f>D15+E14+J14</f>
        <v/>
      </c>
      <c r="F15" s="39">
        <f>IF(I14=0,(F14*$G$3+F14)-D14,I14-D14)</f>
        <v/>
      </c>
      <c r="G15" s="39">
        <f>IF(I14=0,0,I14-D14)</f>
        <v/>
      </c>
      <c r="H15" s="39">
        <f>(E15*$G$3)+E15</f>
        <v/>
      </c>
      <c r="I15" s="41" t="n"/>
      <c r="J15" s="39">
        <f>E15*$G$3</f>
        <v/>
      </c>
      <c r="K15" s="39">
        <f>G15*$G$3</f>
        <v/>
      </c>
      <c r="L15" s="40">
        <f>I15-G15</f>
        <v/>
      </c>
      <c r="M15" s="4">
        <f>IFERROR(L15/G15,0)</f>
        <v/>
      </c>
      <c r="N15" s="21" t="n"/>
      <c r="O15" s="21" t="n"/>
      <c r="P15" s="4">
        <f>IFERROR(O15/N15,0)</f>
        <v/>
      </c>
    </row>
    <row r="16">
      <c r="A16" s="23" t="n"/>
      <c r="B16" s="36" t="n"/>
      <c r="C16" s="1">
        <f>C15+1</f>
        <v/>
      </c>
      <c r="D16" s="21" t="n"/>
      <c r="E16" s="39">
        <f>D16+E15+J15</f>
        <v/>
      </c>
      <c r="F16" s="39">
        <f>IF(I15=0,(F15*$G$3+F15)-D15,I15-D15)</f>
        <v/>
      </c>
      <c r="G16" s="39">
        <f>IF(I15=0,0,I15-D15)</f>
        <v/>
      </c>
      <c r="H16" s="39">
        <f>(E16*$G$3)+E16</f>
        <v/>
      </c>
      <c r="I16" s="41" t="n"/>
      <c r="J16" s="39">
        <f>E16*$G$3</f>
        <v/>
      </c>
      <c r="K16" s="39">
        <f>G16*$G$3</f>
        <v/>
      </c>
      <c r="L16" s="40">
        <f>I16-G16</f>
        <v/>
      </c>
      <c r="M16" s="4">
        <f>IFERROR(L16/G16,0)</f>
        <v/>
      </c>
      <c r="N16" s="21" t="n"/>
      <c r="O16" s="21" t="n"/>
      <c r="P16" s="4">
        <f>IFERROR(O16/N16,0)</f>
        <v/>
      </c>
    </row>
    <row r="17">
      <c r="A17" s="23" t="n"/>
      <c r="B17" s="36" t="n"/>
      <c r="C17" s="1">
        <f>C16+1</f>
        <v/>
      </c>
      <c r="D17" s="21" t="n"/>
      <c r="E17" s="39">
        <f>D17+E16+J16</f>
        <v/>
      </c>
      <c r="F17" s="39">
        <f>IF(I16=0,(F16*$G$3+F16)-D16,I16-D16)</f>
        <v/>
      </c>
      <c r="G17" s="39">
        <f>IF(I16=0,0,I16-D16)</f>
        <v/>
      </c>
      <c r="H17" s="39">
        <f>(E17*$G$3)+E17</f>
        <v/>
      </c>
      <c r="I17" s="41" t="n"/>
      <c r="J17" s="39">
        <f>E17*$G$3</f>
        <v/>
      </c>
      <c r="K17" s="39">
        <f>G17*$G$3</f>
        <v/>
      </c>
      <c r="L17" s="40">
        <f>I17-G17</f>
        <v/>
      </c>
      <c r="M17" s="4">
        <f>IFERROR(L17/G17,0)</f>
        <v/>
      </c>
      <c r="N17" s="21" t="n"/>
      <c r="O17" s="21" t="n"/>
      <c r="P17" s="4">
        <f>IFERROR(O17/N17,0)</f>
        <v/>
      </c>
    </row>
    <row r="18">
      <c r="A18" s="23" t="n"/>
      <c r="B18" s="36" t="n"/>
      <c r="C18" s="1">
        <f>C17+1</f>
        <v/>
      </c>
      <c r="D18" s="21" t="n"/>
      <c r="E18" s="39">
        <f>D18+E17+J17</f>
        <v/>
      </c>
      <c r="F18" s="39">
        <f>IF(I17=0,(F17*$G$3+F17)-D17,I17-D17)</f>
        <v/>
      </c>
      <c r="G18" s="39">
        <f>IF(I17=0,0,I17-D17)</f>
        <v/>
      </c>
      <c r="H18" s="39">
        <f>(E18*$G$3)+E18</f>
        <v/>
      </c>
      <c r="I18" s="41" t="n"/>
      <c r="J18" s="39">
        <f>E18*$G$3</f>
        <v/>
      </c>
      <c r="K18" s="39">
        <f>G18*$G$3</f>
        <v/>
      </c>
      <c r="L18" s="40">
        <f>I18-G18</f>
        <v/>
      </c>
      <c r="M18" s="4">
        <f>IFERROR(L18/G18,0)</f>
        <v/>
      </c>
      <c r="N18" s="21" t="n"/>
      <c r="O18" s="21" t="n"/>
      <c r="P18" s="4">
        <f>IFERROR(O18/N18,0)</f>
        <v/>
      </c>
    </row>
    <row r="19">
      <c r="A19" s="23" t="n"/>
      <c r="B19" s="36" t="n"/>
      <c r="C19" s="1">
        <f>C18+1</f>
        <v/>
      </c>
      <c r="D19" s="21" t="n"/>
      <c r="E19" s="39">
        <f>D19+E18+J18</f>
        <v/>
      </c>
      <c r="F19" s="39">
        <f>IF(I18=0,(F18*$G$3+F18)-D18,I18-D18)</f>
        <v/>
      </c>
      <c r="G19" s="39">
        <f>IF(I18=0,0,I18-D18)</f>
        <v/>
      </c>
      <c r="H19" s="39">
        <f>(E19*$G$3)+E19</f>
        <v/>
      </c>
      <c r="I19" s="41" t="n"/>
      <c r="J19" s="39">
        <f>E19*$G$3</f>
        <v/>
      </c>
      <c r="K19" s="39">
        <f>G19*$G$3</f>
        <v/>
      </c>
      <c r="L19" s="40">
        <f>I19-G19</f>
        <v/>
      </c>
      <c r="M19" s="4">
        <f>IFERROR(L19/G19,0)</f>
        <v/>
      </c>
      <c r="N19" s="21" t="n"/>
      <c r="O19" s="21" t="n"/>
      <c r="P19" s="4">
        <f>IFERROR(O19/N19,0)</f>
        <v/>
      </c>
    </row>
    <row r="20">
      <c r="A20" s="23" t="n"/>
      <c r="B20" s="36" t="n"/>
      <c r="C20" s="1">
        <f>C19+1</f>
        <v/>
      </c>
      <c r="D20" s="21" t="n"/>
      <c r="E20" s="39">
        <f>D20+E19+J19</f>
        <v/>
      </c>
      <c r="F20" s="39">
        <f>IF(I19=0,(F19*$G$3+F19)-D19,I19-D19)</f>
        <v/>
      </c>
      <c r="G20" s="39">
        <f>IF(I19=0,0,I19-D19)</f>
        <v/>
      </c>
      <c r="H20" s="39">
        <f>(E20*$G$3)+E20</f>
        <v/>
      </c>
      <c r="I20" s="41" t="n"/>
      <c r="J20" s="39">
        <f>E20*$G$3</f>
        <v/>
      </c>
      <c r="K20" s="39">
        <f>G20*$G$3</f>
        <v/>
      </c>
      <c r="L20" s="40">
        <f>I20-G20</f>
        <v/>
      </c>
      <c r="M20" s="4">
        <f>IFERROR(L20/G20,0)</f>
        <v/>
      </c>
      <c r="N20" s="21" t="n"/>
      <c r="O20" s="21" t="n"/>
      <c r="P20" s="4">
        <f>IFERROR(O20/N20,0)</f>
        <v/>
      </c>
    </row>
    <row r="21">
      <c r="A21" s="23" t="n"/>
      <c r="B21" s="36" t="n"/>
      <c r="C21" s="1">
        <f>C20+1</f>
        <v/>
      </c>
      <c r="D21" s="21" t="n"/>
      <c r="E21" s="39">
        <f>D21+E20+J20</f>
        <v/>
      </c>
      <c r="F21" s="39">
        <f>IF(I20=0,(F20*$G$3+F20)-D20,I20-D20)</f>
        <v/>
      </c>
      <c r="G21" s="39">
        <f>IF(I20=0,0,I20-D20)</f>
        <v/>
      </c>
      <c r="H21" s="39">
        <f>(E21*$G$3)+E21</f>
        <v/>
      </c>
      <c r="I21" s="41" t="n"/>
      <c r="J21" s="39">
        <f>E21*$G$3</f>
        <v/>
      </c>
      <c r="K21" s="39">
        <f>G21*$G$3</f>
        <v/>
      </c>
      <c r="L21" s="40">
        <f>I21-G21</f>
        <v/>
      </c>
      <c r="M21" s="4">
        <f>IFERROR(L21/G21,0)</f>
        <v/>
      </c>
      <c r="N21" s="21" t="n"/>
      <c r="O21" s="21" t="n"/>
      <c r="P21" s="4">
        <f>IFERROR(O21/N21,0)</f>
        <v/>
      </c>
    </row>
    <row r="22">
      <c r="A22" s="23" t="n"/>
      <c r="B22" s="36" t="n"/>
      <c r="C22" s="1">
        <f>C21+1</f>
        <v/>
      </c>
      <c r="D22" s="21" t="n"/>
      <c r="E22" s="39">
        <f>D22+E21+J21</f>
        <v/>
      </c>
      <c r="F22" s="39">
        <f>IF(I21=0,(F21*$G$3+F21)-D21,I21-D21)</f>
        <v/>
      </c>
      <c r="G22" s="39">
        <f>IF(I21=0,0,I21-D21)</f>
        <v/>
      </c>
      <c r="H22" s="39">
        <f>(E22*$G$3)+E22</f>
        <v/>
      </c>
      <c r="I22" s="41" t="n"/>
      <c r="J22" s="39">
        <f>E22*$G$3</f>
        <v/>
      </c>
      <c r="K22" s="39">
        <f>G22*$G$3</f>
        <v/>
      </c>
      <c r="L22" s="40">
        <f>I22-G22</f>
        <v/>
      </c>
      <c r="M22" s="4">
        <f>IFERROR(L22/G22,0)</f>
        <v/>
      </c>
      <c r="N22" s="21" t="n"/>
      <c r="O22" s="21" t="n"/>
      <c r="P22" s="4">
        <f>IFERROR(O22/N22,0)</f>
        <v/>
      </c>
    </row>
    <row r="23">
      <c r="A23" s="23" t="n"/>
      <c r="B23" s="36" t="n"/>
      <c r="C23" s="1">
        <f>C22+1</f>
        <v/>
      </c>
      <c r="D23" s="21" t="n"/>
      <c r="E23" s="39">
        <f>D23+E22+J22</f>
        <v/>
      </c>
      <c r="F23" s="39">
        <f>IF(I22=0,(F22*$G$3+F22)-D22,I22-D22)</f>
        <v/>
      </c>
      <c r="G23" s="39">
        <f>IF(I22=0,0,I22-D22)</f>
        <v/>
      </c>
      <c r="H23" s="39">
        <f>(E23*$G$3)+E23</f>
        <v/>
      </c>
      <c r="I23" s="41" t="n"/>
      <c r="J23" s="39">
        <f>E23*$G$3</f>
        <v/>
      </c>
      <c r="K23" s="39">
        <f>G23*$G$3</f>
        <v/>
      </c>
      <c r="L23" s="40">
        <f>I23-G23</f>
        <v/>
      </c>
      <c r="M23" s="4">
        <f>IFERROR(L23/G23,0)</f>
        <v/>
      </c>
      <c r="N23" s="21" t="n"/>
      <c r="O23" s="21" t="n"/>
      <c r="P23" s="4">
        <f>IFERROR(O23/N23,0)</f>
        <v/>
      </c>
    </row>
    <row r="24">
      <c r="A24" s="23" t="n"/>
      <c r="B24" s="36" t="n"/>
      <c r="C24" s="1">
        <f>C23+1</f>
        <v/>
      </c>
      <c r="D24" s="21" t="n"/>
      <c r="E24" s="39">
        <f>D24+E23+J23</f>
        <v/>
      </c>
      <c r="F24" s="39">
        <f>IF(I23=0,(F23*$G$3+F23)-D23,I23-D23)</f>
        <v/>
      </c>
      <c r="G24" s="39">
        <f>IF(I23=0,0,I23-D23)</f>
        <v/>
      </c>
      <c r="H24" s="39">
        <f>(E24*$G$3)+E24</f>
        <v/>
      </c>
      <c r="I24" s="41" t="n"/>
      <c r="J24" s="39">
        <f>E24*$G$3</f>
        <v/>
      </c>
      <c r="K24" s="39">
        <f>G24*$G$3</f>
        <v/>
      </c>
      <c r="L24" s="40">
        <f>I24-G24</f>
        <v/>
      </c>
      <c r="M24" s="4">
        <f>IFERROR(L24/G24,0)</f>
        <v/>
      </c>
      <c r="N24" s="21" t="n"/>
      <c r="O24" s="21" t="n"/>
      <c r="P24" s="4">
        <f>IFERROR(O24/N24,0)</f>
        <v/>
      </c>
    </row>
    <row r="25">
      <c r="A25" s="23" t="n"/>
      <c r="B25" s="36" t="n"/>
      <c r="C25" s="1">
        <f>C24+1</f>
        <v/>
      </c>
      <c r="D25" s="21" t="n"/>
      <c r="E25" s="39">
        <f>D25+E24+J24</f>
        <v/>
      </c>
      <c r="F25" s="39">
        <f>IF(I24=0,(F24*$G$3+F24)-D24,I24-D24)</f>
        <v/>
      </c>
      <c r="G25" s="39">
        <f>IF(I24=0,0,I24-D24)</f>
        <v/>
      </c>
      <c r="H25" s="39">
        <f>(E25*$G$3)+E25</f>
        <v/>
      </c>
      <c r="I25" s="41" t="n"/>
      <c r="J25" s="39">
        <f>E25*$G$3</f>
        <v/>
      </c>
      <c r="K25" s="39">
        <f>G25*$G$3</f>
        <v/>
      </c>
      <c r="L25" s="40">
        <f>I25-G25</f>
        <v/>
      </c>
      <c r="M25" s="4">
        <f>IFERROR(L25/G25,0)</f>
        <v/>
      </c>
      <c r="N25" s="21" t="n"/>
      <c r="O25" s="21" t="n"/>
      <c r="P25" s="4">
        <f>IFERROR(O25/N25,0)</f>
        <v/>
      </c>
    </row>
    <row r="26">
      <c r="A26" s="23" t="n"/>
      <c r="B26" s="36" t="n"/>
      <c r="C26" s="1">
        <f>C25+1</f>
        <v/>
      </c>
      <c r="D26" s="21" t="n"/>
      <c r="E26" s="39">
        <f>D26+E25+J25</f>
        <v/>
      </c>
      <c r="F26" s="39">
        <f>IF(I25=0,(F25*$G$3+F25)-D25,I25-D25)</f>
        <v/>
      </c>
      <c r="G26" s="39">
        <f>IF(I25=0,0,I25-D25)</f>
        <v/>
      </c>
      <c r="H26" s="39">
        <f>(E26*$G$3)+E26</f>
        <v/>
      </c>
      <c r="I26" s="41" t="n"/>
      <c r="J26" s="39">
        <f>E26*$G$3</f>
        <v/>
      </c>
      <c r="K26" s="39">
        <f>G26*$G$3</f>
        <v/>
      </c>
      <c r="L26" s="40">
        <f>I26-G26</f>
        <v/>
      </c>
      <c r="M26" s="4">
        <f>IFERROR(L26/G26,0)</f>
        <v/>
      </c>
      <c r="N26" s="21" t="n"/>
      <c r="O26" s="21" t="n"/>
      <c r="P26" s="4">
        <f>IFERROR(O26/N26,0)</f>
        <v/>
      </c>
    </row>
    <row r="27">
      <c r="A27" s="23" t="n"/>
      <c r="B27" s="36" t="n"/>
      <c r="C27" s="1">
        <f>C26+1</f>
        <v/>
      </c>
      <c r="D27" s="21" t="n"/>
      <c r="E27" s="39">
        <f>D27+E26+J26</f>
        <v/>
      </c>
      <c r="F27" s="39">
        <f>IF(I26=0,(F26*$G$3+F26)-D26,I26-D26)</f>
        <v/>
      </c>
      <c r="G27" s="39">
        <f>IF(I26=0,0,I26-D26)</f>
        <v/>
      </c>
      <c r="H27" s="39">
        <f>(E27*$G$3)+E27</f>
        <v/>
      </c>
      <c r="I27" s="41" t="n"/>
      <c r="J27" s="39">
        <f>E27*$G$3</f>
        <v/>
      </c>
      <c r="K27" s="39">
        <f>G27*$G$3</f>
        <v/>
      </c>
      <c r="L27" s="40">
        <f>I27-G27</f>
        <v/>
      </c>
      <c r="M27" s="4">
        <f>IFERROR(L27/G27,0)</f>
        <v/>
      </c>
      <c r="N27" s="21" t="n"/>
      <c r="O27" s="21" t="n"/>
      <c r="P27" s="4">
        <f>IFERROR(O27/N27,0)</f>
        <v/>
      </c>
    </row>
    <row r="28">
      <c r="A28" s="23" t="n"/>
      <c r="B28" s="36" t="n"/>
      <c r="C28" s="1">
        <f>C27+1</f>
        <v/>
      </c>
      <c r="D28" s="21" t="n"/>
      <c r="E28" s="39">
        <f>D28+E27+J27</f>
        <v/>
      </c>
      <c r="F28" s="39">
        <f>IF(I27=0,(F27*$G$3+F27)-D27,I27-D27)</f>
        <v/>
      </c>
      <c r="G28" s="39">
        <f>IF(I27=0,0,I27-D27)</f>
        <v/>
      </c>
      <c r="H28" s="39">
        <f>(E28*$G$3)+E28</f>
        <v/>
      </c>
      <c r="I28" s="41" t="n"/>
      <c r="J28" s="39">
        <f>E28*$G$3</f>
        <v/>
      </c>
      <c r="K28" s="39">
        <f>G28*$G$3</f>
        <v/>
      </c>
      <c r="L28" s="40">
        <f>I28-G28</f>
        <v/>
      </c>
      <c r="M28" s="4">
        <f>IFERROR(L28/G28,0)</f>
        <v/>
      </c>
      <c r="N28" s="21" t="n"/>
      <c r="O28" s="21" t="n"/>
      <c r="P28" s="4">
        <f>IFERROR(O28/N28,0)</f>
        <v/>
      </c>
    </row>
    <row r="29">
      <c r="A29" s="23" t="n"/>
      <c r="B29" s="36" t="n"/>
      <c r="C29" s="1">
        <f>C28+1</f>
        <v/>
      </c>
      <c r="D29" s="21" t="n"/>
      <c r="E29" s="39">
        <f>D29+E28+J28</f>
        <v/>
      </c>
      <c r="F29" s="39">
        <f>IF(I28=0,(F28*$G$3+F28)-D28,I28-D28)</f>
        <v/>
      </c>
      <c r="G29" s="39">
        <f>IF(I28=0,0,I28-D28)</f>
        <v/>
      </c>
      <c r="H29" s="39">
        <f>(E29*$G$3)+E29</f>
        <v/>
      </c>
      <c r="I29" s="41" t="n"/>
      <c r="J29" s="39">
        <f>E29*$G$3</f>
        <v/>
      </c>
      <c r="K29" s="39">
        <f>G29*$G$3</f>
        <v/>
      </c>
      <c r="L29" s="40">
        <f>I29-G29</f>
        <v/>
      </c>
      <c r="M29" s="4">
        <f>IFERROR(L29/G29,0)</f>
        <v/>
      </c>
      <c r="N29" s="21" t="n"/>
      <c r="O29" s="21" t="n"/>
      <c r="P29" s="4">
        <f>IFERROR(O29/N29,0)</f>
        <v/>
      </c>
    </row>
    <row r="30">
      <c r="A30" s="23" t="n"/>
      <c r="B30" s="36" t="n"/>
      <c r="C30" s="1">
        <f>C29+1</f>
        <v/>
      </c>
      <c r="D30" s="21" t="n"/>
      <c r="E30" s="39">
        <f>D30+E29+J29</f>
        <v/>
      </c>
      <c r="F30" s="39">
        <f>IF(I29=0,(F29*$G$3+F29)-D29,I29-D29)</f>
        <v/>
      </c>
      <c r="G30" s="39">
        <f>IF(I29=0,0,I29-D29)</f>
        <v/>
      </c>
      <c r="H30" s="39">
        <f>(E30*$G$3)+E30</f>
        <v/>
      </c>
      <c r="I30" s="41" t="n"/>
      <c r="J30" s="39">
        <f>E30*$G$3</f>
        <v/>
      </c>
      <c r="K30" s="39">
        <f>G30*$G$3</f>
        <v/>
      </c>
      <c r="L30" s="40">
        <f>I30-G30</f>
        <v/>
      </c>
      <c r="M30" s="4">
        <f>IFERROR(L30/G30,0)</f>
        <v/>
      </c>
      <c r="N30" s="21" t="n"/>
      <c r="O30" s="21" t="n"/>
      <c r="P30" s="4">
        <f>IFERROR(O30/N30,0)</f>
        <v/>
      </c>
    </row>
    <row r="31">
      <c r="A31" s="23" t="n"/>
      <c r="B31" s="36" t="n"/>
      <c r="C31" s="1">
        <f>C30+1</f>
        <v/>
      </c>
      <c r="D31" s="21" t="n"/>
      <c r="E31" s="39">
        <f>D31+E30+J30</f>
        <v/>
      </c>
      <c r="F31" s="39">
        <f>IF(I30=0,(F30*$G$3+F30)-D30,I30-D30)</f>
        <v/>
      </c>
      <c r="G31" s="39">
        <f>IF(I30=0,0,I30-D30)</f>
        <v/>
      </c>
      <c r="H31" s="39">
        <f>(E31*$G$3)+E31</f>
        <v/>
      </c>
      <c r="I31" s="41" t="n"/>
      <c r="J31" s="39">
        <f>E31*$G$3</f>
        <v/>
      </c>
      <c r="K31" s="39">
        <f>G31*$G$3</f>
        <v/>
      </c>
      <c r="L31" s="40">
        <f>I31-G31</f>
        <v/>
      </c>
      <c r="M31" s="4">
        <f>IFERROR(L31/G31,0)</f>
        <v/>
      </c>
      <c r="N31" s="21" t="n"/>
      <c r="O31" s="21" t="n"/>
      <c r="P31" s="4">
        <f>IFERROR(O31/N31,0)</f>
        <v/>
      </c>
    </row>
    <row r="32">
      <c r="A32" s="23" t="n"/>
      <c r="B32" s="36" t="n"/>
      <c r="C32" s="1">
        <f>C31+1</f>
        <v/>
      </c>
      <c r="D32" s="21" t="n"/>
      <c r="E32" s="39">
        <f>D32+E31+J31</f>
        <v/>
      </c>
      <c r="F32" s="39">
        <f>IF(I31=0,(F31*$G$3+F31)-D31,I31-D31)</f>
        <v/>
      </c>
      <c r="G32" s="39">
        <f>IF(I31=0,0,I31-D31)</f>
        <v/>
      </c>
      <c r="H32" s="39">
        <f>(E32*$G$3)+E32</f>
        <v/>
      </c>
      <c r="I32" s="41" t="n"/>
      <c r="J32" s="39">
        <f>E32*$G$3</f>
        <v/>
      </c>
      <c r="K32" s="39">
        <f>G32*$G$3</f>
        <v/>
      </c>
      <c r="L32" s="40">
        <f>I32-G32</f>
        <v/>
      </c>
      <c r="M32" s="4">
        <f>IFERROR(L32/G32,0)</f>
        <v/>
      </c>
      <c r="N32" s="21" t="n"/>
      <c r="O32" s="21" t="n"/>
      <c r="P32" s="4">
        <f>IFERROR(O32/N32,0)</f>
        <v/>
      </c>
    </row>
    <row r="33">
      <c r="A33" s="23" t="n"/>
      <c r="B33" s="36" t="n"/>
      <c r="C33" s="1">
        <f>C32+1</f>
        <v/>
      </c>
      <c r="D33" s="21" t="n"/>
      <c r="E33" s="39">
        <f>D33+E32+J32</f>
        <v/>
      </c>
      <c r="F33" s="39">
        <f>IF(I32=0,(F32*$G$3+F32)-D32,I32-D32)</f>
        <v/>
      </c>
      <c r="G33" s="39">
        <f>IF(I32=0,0,I32-D32)</f>
        <v/>
      </c>
      <c r="H33" s="39">
        <f>(E33*$G$3)+E33</f>
        <v/>
      </c>
      <c r="I33" s="41" t="n"/>
      <c r="J33" s="39">
        <f>E33*$G$3</f>
        <v/>
      </c>
      <c r="K33" s="39">
        <f>G33*$G$3</f>
        <v/>
      </c>
      <c r="L33" s="40">
        <f>I33-G33</f>
        <v/>
      </c>
      <c r="M33" s="4">
        <f>IFERROR(L33/G33,0)</f>
        <v/>
      </c>
      <c r="N33" s="21" t="n"/>
      <c r="O33" s="21" t="n"/>
      <c r="P33" s="4">
        <f>IFERROR(O33/N33,0)</f>
        <v/>
      </c>
    </row>
    <row r="34">
      <c r="A34" s="23" t="n"/>
      <c r="B34" s="36" t="n"/>
      <c r="C34" s="1">
        <f>C33+1</f>
        <v/>
      </c>
      <c r="D34" s="21" t="n"/>
      <c r="E34" s="39">
        <f>D34+E33+J33</f>
        <v/>
      </c>
      <c r="F34" s="39">
        <f>IF(I33=0,(F33*$G$3+F33)-D33,I33-D33)</f>
        <v/>
      </c>
      <c r="G34" s="39">
        <f>IF(I33=0,0,I33-D33)</f>
        <v/>
      </c>
      <c r="H34" s="39">
        <f>(E34*$G$3)+E34</f>
        <v/>
      </c>
      <c r="I34" s="41" t="n"/>
      <c r="J34" s="39">
        <f>E34*$G$3</f>
        <v/>
      </c>
      <c r="K34" s="39">
        <f>G34*$G$3</f>
        <v/>
      </c>
      <c r="L34" s="40">
        <f>I34-G34</f>
        <v/>
      </c>
      <c r="M34" s="4">
        <f>IFERROR(L34/G34,0)</f>
        <v/>
      </c>
      <c r="N34" s="21" t="n"/>
      <c r="O34" s="21" t="n"/>
      <c r="P34" s="4">
        <f>IFERROR(O34/N34,0)</f>
        <v/>
      </c>
    </row>
    <row r="35">
      <c r="A35" s="23" t="n"/>
      <c r="B35" s="36" t="n"/>
      <c r="C35" s="1">
        <f>C34+1</f>
        <v/>
      </c>
      <c r="D35" s="21" t="n"/>
      <c r="E35" s="39">
        <f>D35+E34+J34</f>
        <v/>
      </c>
      <c r="F35" s="39">
        <f>IF(I34=0,(F34*$G$3+F34)-D34,I34-D34)</f>
        <v/>
      </c>
      <c r="G35" s="39">
        <f>IF(I34=0,0,I34-D34)</f>
        <v/>
      </c>
      <c r="H35" s="39">
        <f>(E35*$G$3)+E35</f>
        <v/>
      </c>
      <c r="I35" s="41" t="n"/>
      <c r="J35" s="39">
        <f>E35*$G$3</f>
        <v/>
      </c>
      <c r="K35" s="39">
        <f>G35*$G$3</f>
        <v/>
      </c>
      <c r="L35" s="40">
        <f>I35-G35</f>
        <v/>
      </c>
      <c r="M35" s="4">
        <f>IFERROR(L35/G35,0)</f>
        <v/>
      </c>
      <c r="N35" s="21" t="n"/>
      <c r="O35" s="21" t="n"/>
      <c r="P35" s="4">
        <f>IFERROR(O35/N35,0)</f>
        <v/>
      </c>
    </row>
    <row r="36">
      <c r="A36" s="23" t="n"/>
      <c r="B36" s="36" t="n"/>
      <c r="C36" s="1">
        <f>C35+1</f>
        <v/>
      </c>
      <c r="D36" s="21" t="n"/>
      <c r="E36" s="39">
        <f>D36+E35+J35</f>
        <v/>
      </c>
      <c r="F36" s="39">
        <f>IF(I35=0,(F35*$G$3+F35)-D35,I35-D35)</f>
        <v/>
      </c>
      <c r="G36" s="39">
        <f>IF(I35=0,0,I35-D35)</f>
        <v/>
      </c>
      <c r="H36" s="39">
        <f>(E36*$G$3)+E36</f>
        <v/>
      </c>
      <c r="I36" s="41" t="n"/>
      <c r="J36" s="39">
        <f>E36*$G$3</f>
        <v/>
      </c>
      <c r="K36" s="39">
        <f>G36*$G$3</f>
        <v/>
      </c>
      <c r="L36" s="40">
        <f>I36-G36</f>
        <v/>
      </c>
      <c r="M36" s="4">
        <f>IFERROR(L36/G36,0)</f>
        <v/>
      </c>
      <c r="N36" s="21" t="n"/>
      <c r="O36" s="21" t="n"/>
      <c r="P36" s="4">
        <f>IFERROR(O36/N36,0)</f>
        <v/>
      </c>
    </row>
    <row r="37">
      <c r="A37" s="23" t="n"/>
      <c r="B37" s="36" t="n"/>
      <c r="C37" s="1">
        <f>C36+1</f>
        <v/>
      </c>
      <c r="D37" s="21" t="n"/>
      <c r="E37" s="39">
        <f>D37+E36+J36</f>
        <v/>
      </c>
      <c r="F37" s="39">
        <f>IF(I36=0,(F36*$G$3+F36)-D36,I36-D36)</f>
        <v/>
      </c>
      <c r="G37" s="39">
        <f>IF(I36=0,0,I36-D36)</f>
        <v/>
      </c>
      <c r="H37" s="39">
        <f>(E37*$G$3)+E37</f>
        <v/>
      </c>
      <c r="I37" s="41" t="n"/>
      <c r="J37" s="39">
        <f>E37*$G$3</f>
        <v/>
      </c>
      <c r="K37" s="39">
        <f>G37*$G$3</f>
        <v/>
      </c>
      <c r="L37" s="40">
        <f>I37-G37</f>
        <v/>
      </c>
      <c r="M37" s="4">
        <f>IFERROR(L37/G37,0)</f>
        <v/>
      </c>
      <c r="N37" s="21" t="n"/>
      <c r="O37" s="21" t="n"/>
      <c r="P37" s="4">
        <f>IFERROR(O37/N37,0)</f>
        <v/>
      </c>
    </row>
    <row r="38">
      <c r="A38" s="23" t="n"/>
      <c r="B38" s="36" t="n"/>
      <c r="C38" s="1">
        <f>C37+1</f>
        <v/>
      </c>
      <c r="D38" s="21" t="n"/>
      <c r="E38" s="39">
        <f>D38+E37+J37</f>
        <v/>
      </c>
      <c r="F38" s="39">
        <f>IF(I37=0,(F37*$G$3+F37)-D37,I37-D37)</f>
        <v/>
      </c>
      <c r="G38" s="39">
        <f>IF(I37=0,0,I37-D37)</f>
        <v/>
      </c>
      <c r="H38" s="39">
        <f>(E38*$G$3)+E38</f>
        <v/>
      </c>
      <c r="I38" s="41" t="n"/>
      <c r="J38" s="39">
        <f>E38*$G$3</f>
        <v/>
      </c>
      <c r="K38" s="39">
        <f>G38*$G$3</f>
        <v/>
      </c>
      <c r="L38" s="40">
        <f>I38-G38</f>
        <v/>
      </c>
      <c r="M38" s="4">
        <f>IFERROR(L38/G38,0)</f>
        <v/>
      </c>
      <c r="N38" s="21" t="n"/>
      <c r="O38" s="21" t="n"/>
      <c r="P38" s="4">
        <f>IFERROR(O38/N38,0)</f>
        <v/>
      </c>
    </row>
    <row r="39">
      <c r="A39" s="23" t="n"/>
      <c r="B39" s="36" t="n"/>
      <c r="C39" s="1">
        <f>C38+1</f>
        <v/>
      </c>
      <c r="D39" s="21" t="n"/>
      <c r="E39" s="39">
        <f>D39+E38+J38</f>
        <v/>
      </c>
      <c r="F39" s="39">
        <f>IF(I38=0,(F38*$G$3+F38)-D38,I38-D38)</f>
        <v/>
      </c>
      <c r="G39" s="39">
        <f>IF(I38=0,0,I38-D38)</f>
        <v/>
      </c>
      <c r="H39" s="39">
        <f>(E39*$G$3)+E39</f>
        <v/>
      </c>
      <c r="I39" s="41" t="n"/>
      <c r="J39" s="39">
        <f>E39*$G$3</f>
        <v/>
      </c>
      <c r="K39" s="39">
        <f>G39*$G$3</f>
        <v/>
      </c>
      <c r="L39" s="40">
        <f>I39-G39</f>
        <v/>
      </c>
      <c r="M39" s="4">
        <f>IFERROR(L39/G39,0)</f>
        <v/>
      </c>
      <c r="N39" s="21" t="n"/>
      <c r="O39" s="21" t="n"/>
      <c r="P39" s="4">
        <f>IFERROR(O39/N39,0)</f>
        <v/>
      </c>
    </row>
    <row r="40">
      <c r="A40" s="23" t="n"/>
      <c r="B40" s="36" t="n"/>
      <c r="C40" s="1">
        <f>C39+1</f>
        <v/>
      </c>
      <c r="D40" s="21" t="n"/>
      <c r="E40" s="39">
        <f>D40+E39+J39</f>
        <v/>
      </c>
      <c r="F40" s="39">
        <f>IF(I39=0,(F39*$G$3+F39)-D39,I39-D39)</f>
        <v/>
      </c>
      <c r="G40" s="39">
        <f>IF(I39=0,0,I39-D39)</f>
        <v/>
      </c>
      <c r="H40" s="39">
        <f>(E40*$G$3)+E40</f>
        <v/>
      </c>
      <c r="I40" s="41" t="n"/>
      <c r="J40" s="39">
        <f>E40*$G$3</f>
        <v/>
      </c>
      <c r="K40" s="39">
        <f>G40*$G$3</f>
        <v/>
      </c>
      <c r="L40" s="40">
        <f>I40-G40</f>
        <v/>
      </c>
      <c r="M40" s="4">
        <f>IFERROR(L40/G40,0)</f>
        <v/>
      </c>
      <c r="N40" s="21" t="n"/>
      <c r="O40" s="21" t="n"/>
      <c r="P40" s="4">
        <f>IFERROR(O40/N40,0)</f>
        <v/>
      </c>
    </row>
    <row r="41">
      <c r="A41" s="23" t="n"/>
      <c r="B41" s="36" t="n"/>
      <c r="C41" s="1">
        <f>C40+1</f>
        <v/>
      </c>
      <c r="D41" s="21" t="n"/>
      <c r="E41" s="39">
        <f>D41+E40+J40</f>
        <v/>
      </c>
      <c r="F41" s="39">
        <f>IF(I40=0,(F40*$G$3+F40)-D40,I40-D40)</f>
        <v/>
      </c>
      <c r="G41" s="39">
        <f>IF(I40=0,0,I40-D40)</f>
        <v/>
      </c>
      <c r="H41" s="39">
        <f>(E41*$G$3)+E41</f>
        <v/>
      </c>
      <c r="I41" s="41" t="n"/>
      <c r="J41" s="39">
        <f>E41*$G$3</f>
        <v/>
      </c>
      <c r="K41" s="39">
        <f>G41*$G$3</f>
        <v/>
      </c>
      <c r="L41" s="40">
        <f>I41-G41</f>
        <v/>
      </c>
      <c r="M41" s="4">
        <f>IFERROR(L41/G41,0)</f>
        <v/>
      </c>
      <c r="N41" s="21" t="n"/>
      <c r="O41" s="21" t="n"/>
      <c r="P41" s="4">
        <f>IFERROR(O41/N41,0)</f>
        <v/>
      </c>
    </row>
    <row r="42">
      <c r="A42" s="23" t="n"/>
      <c r="B42" s="36" t="n"/>
      <c r="C42" s="1">
        <f>C41+1</f>
        <v/>
      </c>
      <c r="D42" s="21" t="n"/>
      <c r="E42" s="39">
        <f>D42+E41+J41</f>
        <v/>
      </c>
      <c r="F42" s="39">
        <f>IF(I41=0,(F41*$G$3+F41)-D41,I41-D41)</f>
        <v/>
      </c>
      <c r="G42" s="39">
        <f>IF(I41=0,0,I41-D41)</f>
        <v/>
      </c>
      <c r="H42" s="39">
        <f>(E42*$G$3)+E42</f>
        <v/>
      </c>
      <c r="I42" s="41" t="n"/>
      <c r="J42" s="39">
        <f>E42*$G$3</f>
        <v/>
      </c>
      <c r="K42" s="39">
        <f>G42*$G$3</f>
        <v/>
      </c>
      <c r="L42" s="40">
        <f>I42-G42</f>
        <v/>
      </c>
      <c r="M42" s="4">
        <f>IFERROR(L42/G42,0)</f>
        <v/>
      </c>
      <c r="N42" s="21" t="n"/>
      <c r="O42" s="21" t="n"/>
      <c r="P42" s="4">
        <f>IFERROR(O42/N42,0)</f>
        <v/>
      </c>
    </row>
    <row r="43">
      <c r="A43" s="23" t="n"/>
      <c r="B43" s="36" t="n"/>
      <c r="C43" s="1">
        <f>C42+1</f>
        <v/>
      </c>
      <c r="D43" s="21" t="n"/>
      <c r="E43" s="39">
        <f>D43+E42+J42</f>
        <v/>
      </c>
      <c r="F43" s="39">
        <f>IF(I42=0,(F42*$G$3+F42)-D42,I42-D42)</f>
        <v/>
      </c>
      <c r="G43" s="39">
        <f>IF(I42=0,0,I42-D42)</f>
        <v/>
      </c>
      <c r="H43" s="39">
        <f>(E43*$G$3)+E43</f>
        <v/>
      </c>
      <c r="I43" s="41" t="n"/>
      <c r="J43" s="39">
        <f>E43*$G$3</f>
        <v/>
      </c>
      <c r="K43" s="39">
        <f>G43*$G$3</f>
        <v/>
      </c>
      <c r="L43" s="40">
        <f>I43-G43</f>
        <v/>
      </c>
      <c r="M43" s="4">
        <f>IFERROR(L43/G43,0)</f>
        <v/>
      </c>
      <c r="N43" s="21" t="n"/>
      <c r="O43" s="21" t="n"/>
      <c r="P43" s="4">
        <f>IFERROR(O43/N43,0)</f>
        <v/>
      </c>
    </row>
    <row r="44">
      <c r="A44" s="23" t="n"/>
      <c r="B44" s="36" t="n"/>
      <c r="C44" s="1">
        <f>C43+1</f>
        <v/>
      </c>
      <c r="D44" s="21" t="n"/>
      <c r="E44" s="39">
        <f>D44+E43+J43</f>
        <v/>
      </c>
      <c r="F44" s="39">
        <f>IF(I43=0,(F43*$G$3+F43)-D43,I43-D43)</f>
        <v/>
      </c>
      <c r="G44" s="39">
        <f>IF(I43=0,0,I43-D43)</f>
        <v/>
      </c>
      <c r="H44" s="39">
        <f>(E44*$G$3)+E44</f>
        <v/>
      </c>
      <c r="I44" s="41" t="n"/>
      <c r="J44" s="39">
        <f>E44*$G$3</f>
        <v/>
      </c>
      <c r="K44" s="39">
        <f>G44*$G$3</f>
        <v/>
      </c>
      <c r="L44" s="40">
        <f>I44-G44</f>
        <v/>
      </c>
      <c r="M44" s="4">
        <f>IFERROR(L44/G44,0)</f>
        <v/>
      </c>
      <c r="N44" s="21" t="n"/>
      <c r="O44" s="21" t="n"/>
      <c r="P44" s="4">
        <f>IFERROR(O44/N44,0)</f>
        <v/>
      </c>
    </row>
    <row r="45">
      <c r="A45" s="23" t="n"/>
      <c r="B45" s="36" t="n"/>
      <c r="C45" s="1">
        <f>C44+1</f>
        <v/>
      </c>
      <c r="D45" s="21" t="n"/>
      <c r="E45" s="39">
        <f>D45+E44+J44</f>
        <v/>
      </c>
      <c r="F45" s="39">
        <f>IF(I44=0,(F44*$G$3+F44)-D44,I44-D44)</f>
        <v/>
      </c>
      <c r="G45" s="39">
        <f>IF(I44=0,0,I44-D44)</f>
        <v/>
      </c>
      <c r="H45" s="39">
        <f>(E45*$G$3)+E45</f>
        <v/>
      </c>
      <c r="I45" s="41" t="n"/>
      <c r="J45" s="39">
        <f>E45*$G$3</f>
        <v/>
      </c>
      <c r="K45" s="39">
        <f>G45*$G$3</f>
        <v/>
      </c>
      <c r="L45" s="40">
        <f>I45-G45</f>
        <v/>
      </c>
      <c r="M45" s="4">
        <f>IFERROR(L45/G45,0)</f>
        <v/>
      </c>
      <c r="N45" s="21" t="n"/>
      <c r="O45" s="21" t="n"/>
      <c r="P45" s="4">
        <f>IFERROR(O45/N45,0)</f>
        <v/>
      </c>
    </row>
    <row r="46">
      <c r="A46" s="23" t="n"/>
      <c r="B46" s="36" t="n"/>
      <c r="C46" s="1">
        <f>C45+1</f>
        <v/>
      </c>
      <c r="D46" s="21" t="n"/>
      <c r="E46" s="39">
        <f>D46+E45+J45</f>
        <v/>
      </c>
      <c r="F46" s="39">
        <f>IF(I45=0,(F45*$G$3+F45)-D45,I45-D45)</f>
        <v/>
      </c>
      <c r="G46" s="39">
        <f>IF(I45=0,0,I45-D45)</f>
        <v/>
      </c>
      <c r="H46" s="39">
        <f>(E46*$G$3)+E46</f>
        <v/>
      </c>
      <c r="I46" s="41" t="n"/>
      <c r="J46" s="39">
        <f>E46*$G$3</f>
        <v/>
      </c>
      <c r="K46" s="39">
        <f>G46*$G$3</f>
        <v/>
      </c>
      <c r="L46" s="40">
        <f>I46-G46</f>
        <v/>
      </c>
      <c r="M46" s="4">
        <f>IFERROR(L46/G46,0)</f>
        <v/>
      </c>
      <c r="N46" s="21" t="n"/>
      <c r="O46" s="21" t="n"/>
      <c r="P46" s="4">
        <f>IFERROR(O46/N46,0)</f>
        <v/>
      </c>
    </row>
    <row r="47">
      <c r="A47" s="23" t="n"/>
      <c r="B47" s="36" t="n"/>
      <c r="C47" s="1">
        <f>C46+1</f>
        <v/>
      </c>
      <c r="D47" s="21" t="n"/>
      <c r="E47" s="39">
        <f>D47+E46+J46</f>
        <v/>
      </c>
      <c r="F47" s="39">
        <f>IF(I46=0,(F46*$G$3+F46)-D46,I46-D46)</f>
        <v/>
      </c>
      <c r="G47" s="39">
        <f>IF(I46=0,0,I46-D46)</f>
        <v/>
      </c>
      <c r="H47" s="39">
        <f>(E47*$G$3)+E47</f>
        <v/>
      </c>
      <c r="I47" s="41" t="n"/>
      <c r="J47" s="39">
        <f>E47*$G$3</f>
        <v/>
      </c>
      <c r="K47" s="39">
        <f>G47*$G$3</f>
        <v/>
      </c>
      <c r="L47" s="40">
        <f>I47-G47</f>
        <v/>
      </c>
      <c r="M47" s="4">
        <f>IFERROR(L47/G47,0)</f>
        <v/>
      </c>
      <c r="N47" s="21" t="n"/>
      <c r="O47" s="21" t="n"/>
      <c r="P47" s="4">
        <f>IFERROR(O47/N47,0)</f>
        <v/>
      </c>
    </row>
    <row r="48">
      <c r="A48" s="23" t="n"/>
      <c r="B48" s="36" t="n"/>
      <c r="C48" s="1">
        <f>C47+1</f>
        <v/>
      </c>
      <c r="D48" s="21" t="n"/>
      <c r="E48" s="39">
        <f>D48+E47+J47</f>
        <v/>
      </c>
      <c r="F48" s="39">
        <f>IF(I47=0,(F47*$G$3+F47)-D47,I47-D47)</f>
        <v/>
      </c>
      <c r="G48" s="39">
        <f>IF(I47=0,0,I47-D47)</f>
        <v/>
      </c>
      <c r="H48" s="39">
        <f>(E48*$G$3)+E48</f>
        <v/>
      </c>
      <c r="I48" s="41" t="n"/>
      <c r="J48" s="39">
        <f>E48*$G$3</f>
        <v/>
      </c>
      <c r="K48" s="39">
        <f>G48*$G$3</f>
        <v/>
      </c>
      <c r="L48" s="40">
        <f>I48-G48</f>
        <v/>
      </c>
      <c r="M48" s="4">
        <f>IFERROR(L48/G48,0)</f>
        <v/>
      </c>
      <c r="N48" s="21" t="n"/>
      <c r="O48" s="21" t="n"/>
      <c r="P48" s="4">
        <f>IFERROR(O48/N48,0)</f>
        <v/>
      </c>
    </row>
    <row r="49">
      <c r="A49" s="23" t="n"/>
      <c r="B49" s="36" t="n"/>
      <c r="C49" s="1">
        <f>C48+1</f>
        <v/>
      </c>
      <c r="D49" s="21" t="n"/>
      <c r="E49" s="39">
        <f>D49+E48+J48</f>
        <v/>
      </c>
      <c r="F49" s="39">
        <f>IF(I48=0,(F48*$G$3+F48)-D48,I48-D48)</f>
        <v/>
      </c>
      <c r="G49" s="39">
        <f>IF(I48=0,0,I48-D48)</f>
        <v/>
      </c>
      <c r="H49" s="39">
        <f>(E49*$G$3)+E49</f>
        <v/>
      </c>
      <c r="I49" s="41" t="n"/>
      <c r="J49" s="39">
        <f>E49*$G$3</f>
        <v/>
      </c>
      <c r="K49" s="39">
        <f>G49*$G$3</f>
        <v/>
      </c>
      <c r="L49" s="40">
        <f>I49-G49</f>
        <v/>
      </c>
      <c r="M49" s="4">
        <f>IFERROR(L49/G49,0)</f>
        <v/>
      </c>
      <c r="N49" s="21" t="n"/>
      <c r="O49" s="21" t="n"/>
      <c r="P49" s="4">
        <f>IFERROR(O49/N49,0)</f>
        <v/>
      </c>
    </row>
    <row r="50">
      <c r="A50" s="23" t="n"/>
      <c r="B50" s="36" t="n"/>
      <c r="C50" s="1">
        <f>C49+1</f>
        <v/>
      </c>
      <c r="D50" s="21" t="n"/>
      <c r="E50" s="39">
        <f>D50+E49+J49</f>
        <v/>
      </c>
      <c r="F50" s="39">
        <f>IF(I49=0,(F49*$G$3+F49)-D49,I49-D49)</f>
        <v/>
      </c>
      <c r="G50" s="39">
        <f>IF(I49=0,0,I49-D49)</f>
        <v/>
      </c>
      <c r="H50" s="39">
        <f>(E50*$G$3)+E50</f>
        <v/>
      </c>
      <c r="I50" s="41" t="n"/>
      <c r="J50" s="39">
        <f>E50*$G$3</f>
        <v/>
      </c>
      <c r="K50" s="39">
        <f>G50*$G$3</f>
        <v/>
      </c>
      <c r="L50" s="40">
        <f>I50-G50</f>
        <v/>
      </c>
      <c r="M50" s="4">
        <f>IFERROR(L50/G50,0)</f>
        <v/>
      </c>
      <c r="N50" s="21" t="n"/>
      <c r="O50" s="21" t="n"/>
      <c r="P50" s="4">
        <f>IFERROR(O50/N50,0)</f>
        <v/>
      </c>
    </row>
    <row r="51">
      <c r="A51" s="23" t="n"/>
      <c r="B51" s="36" t="n"/>
      <c r="C51" s="1">
        <f>C50+1</f>
        <v/>
      </c>
      <c r="D51" s="21" t="n"/>
      <c r="E51" s="39">
        <f>D51+E50+J50</f>
        <v/>
      </c>
      <c r="F51" s="39">
        <f>IF(I50=0,(F50*$G$3+F50)-D50,I50-D50)</f>
        <v/>
      </c>
      <c r="G51" s="39">
        <f>IF(I50=0,0,I50-D50)</f>
        <v/>
      </c>
      <c r="H51" s="39">
        <f>(E51*$G$3)+E51</f>
        <v/>
      </c>
      <c r="I51" s="41" t="n"/>
      <c r="J51" s="39">
        <f>E51*$G$3</f>
        <v/>
      </c>
      <c r="K51" s="39">
        <f>G51*$G$3</f>
        <v/>
      </c>
      <c r="L51" s="40">
        <f>I51-G51</f>
        <v/>
      </c>
      <c r="M51" s="4">
        <f>IFERROR(L51/G51,0)</f>
        <v/>
      </c>
      <c r="N51" s="21" t="n"/>
      <c r="O51" s="21" t="n"/>
      <c r="P51" s="4">
        <f>IFERROR(O51/N51,0)</f>
        <v/>
      </c>
    </row>
    <row r="52">
      <c r="A52" s="23" t="n"/>
      <c r="B52" s="36" t="n"/>
      <c r="C52" s="1">
        <f>C51+1</f>
        <v/>
      </c>
      <c r="D52" s="21" t="n"/>
      <c r="E52" s="39">
        <f>D52+E51+J51</f>
        <v/>
      </c>
      <c r="F52" s="39">
        <f>IF(I51=0,(F51*$G$3+F51)-D51,I51-D51)</f>
        <v/>
      </c>
      <c r="G52" s="39">
        <f>IF(I51=0,0,I51-D51)</f>
        <v/>
      </c>
      <c r="H52" s="39">
        <f>(E52*$G$3)+E52</f>
        <v/>
      </c>
      <c r="I52" s="41" t="n"/>
      <c r="J52" s="39">
        <f>E52*$G$3</f>
        <v/>
      </c>
      <c r="K52" s="39">
        <f>G52*$G$3</f>
        <v/>
      </c>
      <c r="L52" s="40">
        <f>I52-G52</f>
        <v/>
      </c>
      <c r="M52" s="4">
        <f>IFERROR(L52/G52,0)</f>
        <v/>
      </c>
      <c r="N52" s="21" t="n"/>
      <c r="O52" s="21" t="n"/>
      <c r="P52" s="4">
        <f>IFERROR(O52/N52,0)</f>
        <v/>
      </c>
    </row>
    <row r="53">
      <c r="A53" s="23" t="n"/>
      <c r="B53" s="36" t="n"/>
      <c r="C53" s="1">
        <f>C52+1</f>
        <v/>
      </c>
      <c r="D53" s="21" t="n"/>
      <c r="E53" s="39">
        <f>D53+E52+J52</f>
        <v/>
      </c>
      <c r="F53" s="39">
        <f>IF(I52=0,(F52*$G$3+F52)-D52,I52-D52)</f>
        <v/>
      </c>
      <c r="G53" s="39">
        <f>IF(I52=0,0,I52-D52)</f>
        <v/>
      </c>
      <c r="H53" s="39">
        <f>(E53*$G$3)+E53</f>
        <v/>
      </c>
      <c r="I53" s="41" t="n"/>
      <c r="J53" s="39">
        <f>E53*$G$3</f>
        <v/>
      </c>
      <c r="K53" s="39">
        <f>G53*$G$3</f>
        <v/>
      </c>
      <c r="L53" s="40">
        <f>I53-G53</f>
        <v/>
      </c>
      <c r="M53" s="4">
        <f>IFERROR(L53/G53,0)</f>
        <v/>
      </c>
      <c r="N53" s="21" t="n"/>
      <c r="O53" s="21" t="n"/>
      <c r="P53" s="4">
        <f>IFERROR(O53/N53,0)</f>
        <v/>
      </c>
    </row>
    <row r="54">
      <c r="A54" s="23" t="n"/>
      <c r="B54" s="36" t="n"/>
      <c r="C54" s="1">
        <f>C53+1</f>
        <v/>
      </c>
      <c r="D54" s="21" t="n"/>
      <c r="E54" s="39">
        <f>D54+E53+J53</f>
        <v/>
      </c>
      <c r="F54" s="39">
        <f>IF(I53=0,(F53*$G$3+F53)-D53,I53-D53)</f>
        <v/>
      </c>
      <c r="G54" s="39">
        <f>IF(I53=0,0,I53-D53)</f>
        <v/>
      </c>
      <c r="H54" s="39">
        <f>(E54*$G$3)+E54</f>
        <v/>
      </c>
      <c r="I54" s="41" t="n"/>
      <c r="J54" s="39">
        <f>E54*$G$3</f>
        <v/>
      </c>
      <c r="K54" s="39">
        <f>G54*$G$3</f>
        <v/>
      </c>
      <c r="L54" s="40">
        <f>I54-G54</f>
        <v/>
      </c>
      <c r="M54" s="4">
        <f>IFERROR(L54/G54,0)</f>
        <v/>
      </c>
      <c r="N54" s="21" t="n"/>
      <c r="O54" s="21" t="n"/>
      <c r="P54" s="4">
        <f>IFERROR(O54/N54,0)</f>
        <v/>
      </c>
    </row>
    <row r="55">
      <c r="A55" s="23" t="n"/>
      <c r="B55" s="36" t="n"/>
      <c r="C55" s="1">
        <f>C54+1</f>
        <v/>
      </c>
      <c r="D55" s="21" t="n"/>
      <c r="E55" s="39">
        <f>D55+E54+J54</f>
        <v/>
      </c>
      <c r="F55" s="39">
        <f>IF(I54=0,(F54*$G$3+F54)-D54,I54-D54)</f>
        <v/>
      </c>
      <c r="G55" s="39">
        <f>IF(I54=0,0,I54-D54)</f>
        <v/>
      </c>
      <c r="H55" s="39">
        <f>(E55*$G$3)+E55</f>
        <v/>
      </c>
      <c r="I55" s="41" t="n"/>
      <c r="J55" s="39">
        <f>E55*$G$3</f>
        <v/>
      </c>
      <c r="K55" s="39">
        <f>G55*$G$3</f>
        <v/>
      </c>
      <c r="L55" s="40">
        <f>I55-G55</f>
        <v/>
      </c>
      <c r="M55" s="4">
        <f>IFERROR(L55/G55,0)</f>
        <v/>
      </c>
      <c r="N55" s="21" t="n"/>
      <c r="O55" s="21" t="n"/>
      <c r="P55" s="4">
        <f>IFERROR(O55/N55,0)</f>
        <v/>
      </c>
    </row>
    <row r="56">
      <c r="A56" s="23" t="n"/>
      <c r="B56" s="36" t="n"/>
      <c r="C56" s="1">
        <f>C55+1</f>
        <v/>
      </c>
      <c r="D56" s="21" t="n"/>
      <c r="E56" s="39">
        <f>D56+E55+J55</f>
        <v/>
      </c>
      <c r="F56" s="39">
        <f>IF(I55=0,(F55*$G$3+F55)-D55,I55-D55)</f>
        <v/>
      </c>
      <c r="G56" s="39">
        <f>IF(I55=0,0,I55-D55)</f>
        <v/>
      </c>
      <c r="H56" s="39">
        <f>(E56*$G$3)+E56</f>
        <v/>
      </c>
      <c r="I56" s="41" t="n"/>
      <c r="J56" s="39">
        <f>E56*$G$3</f>
        <v/>
      </c>
      <c r="K56" s="39">
        <f>G56*$G$3</f>
        <v/>
      </c>
      <c r="L56" s="40">
        <f>I56-G56</f>
        <v/>
      </c>
      <c r="M56" s="4">
        <f>IFERROR(L56/G56,0)</f>
        <v/>
      </c>
      <c r="N56" s="21" t="n"/>
      <c r="O56" s="21" t="n"/>
      <c r="P56" s="4">
        <f>IFERROR(O56/N56,0)</f>
        <v/>
      </c>
    </row>
    <row r="57">
      <c r="A57" s="23" t="n"/>
      <c r="B57" s="36" t="n"/>
      <c r="C57" s="1">
        <f>C56+1</f>
        <v/>
      </c>
      <c r="D57" s="21" t="n"/>
      <c r="E57" s="39">
        <f>D57+E56+J56</f>
        <v/>
      </c>
      <c r="F57" s="39">
        <f>IF(I56=0,(F56*$G$3+F56)-D56,I56-D56)</f>
        <v/>
      </c>
      <c r="G57" s="39">
        <f>IF(I56=0,0,I56-D56)</f>
        <v/>
      </c>
      <c r="H57" s="39">
        <f>(E57*$G$3)+E57</f>
        <v/>
      </c>
      <c r="I57" s="41" t="n"/>
      <c r="J57" s="39">
        <f>E57*$G$3</f>
        <v/>
      </c>
      <c r="K57" s="39">
        <f>G57*$G$3</f>
        <v/>
      </c>
      <c r="L57" s="40">
        <f>I57-G57</f>
        <v/>
      </c>
      <c r="M57" s="4">
        <f>IFERROR(L57/G57,0)</f>
        <v/>
      </c>
      <c r="N57" s="21" t="n"/>
      <c r="O57" s="21" t="n"/>
      <c r="P57" s="4">
        <f>IFERROR(O57/N57,0)</f>
        <v/>
      </c>
    </row>
    <row r="58">
      <c r="A58" s="23" t="n"/>
      <c r="B58" s="36" t="n"/>
      <c r="C58" s="1">
        <f>C57+1</f>
        <v/>
      </c>
      <c r="D58" s="21" t="n"/>
      <c r="E58" s="39">
        <f>D58+E57+J57</f>
        <v/>
      </c>
      <c r="F58" s="39">
        <f>IF(I57=0,(F57*$G$3+F57)-D57,I57-D57)</f>
        <v/>
      </c>
      <c r="G58" s="39">
        <f>IF(I57=0,0,I57-D57)</f>
        <v/>
      </c>
      <c r="H58" s="39">
        <f>(E58*$G$3)+E58</f>
        <v/>
      </c>
      <c r="I58" s="41" t="n"/>
      <c r="J58" s="39">
        <f>E58*$G$3</f>
        <v/>
      </c>
      <c r="K58" s="39">
        <f>G58*$G$3</f>
        <v/>
      </c>
      <c r="L58" s="40">
        <f>I58-G58</f>
        <v/>
      </c>
      <c r="M58" s="4">
        <f>IFERROR(L58/G58,0)</f>
        <v/>
      </c>
      <c r="N58" s="21" t="n"/>
      <c r="O58" s="21" t="n"/>
      <c r="P58" s="4">
        <f>IFERROR(O58/N58,0)</f>
        <v/>
      </c>
    </row>
    <row r="59">
      <c r="A59" s="23" t="n"/>
      <c r="B59" s="36" t="n"/>
      <c r="C59" s="1">
        <f>C58+1</f>
        <v/>
      </c>
      <c r="D59" s="21" t="n"/>
      <c r="E59" s="39">
        <f>D59+E58+J58</f>
        <v/>
      </c>
      <c r="F59" s="39">
        <f>IF(I58=0,(F58*$G$3+F58)-D58,I58-D58)</f>
        <v/>
      </c>
      <c r="G59" s="39">
        <f>IF(I58=0,0,I58-D58)</f>
        <v/>
      </c>
      <c r="H59" s="39">
        <f>(E59*$G$3)+E59</f>
        <v/>
      </c>
      <c r="I59" s="41" t="n"/>
      <c r="J59" s="39">
        <f>E59*$G$3</f>
        <v/>
      </c>
      <c r="K59" s="39">
        <f>G59*$G$3</f>
        <v/>
      </c>
      <c r="L59" s="40">
        <f>I59-G59</f>
        <v/>
      </c>
      <c r="M59" s="4">
        <f>IFERROR(L59/G59,0)</f>
        <v/>
      </c>
      <c r="N59" s="21" t="n"/>
      <c r="O59" s="21" t="n"/>
      <c r="P59" s="4">
        <f>IFERROR(O59/N59,0)</f>
        <v/>
      </c>
    </row>
    <row r="60">
      <c r="A60" s="23" t="n"/>
      <c r="B60" s="36" t="n"/>
      <c r="C60" s="1">
        <f>C59+1</f>
        <v/>
      </c>
      <c r="D60" s="21" t="n"/>
      <c r="E60" s="39">
        <f>D60+E59+J59</f>
        <v/>
      </c>
      <c r="F60" s="39">
        <f>IF(I59=0,(F59*$G$3+F59)-D59,I59-D59)</f>
        <v/>
      </c>
      <c r="G60" s="39">
        <f>IF(I59=0,0,I59-D59)</f>
        <v/>
      </c>
      <c r="H60" s="39">
        <f>(E60*$G$3)+E60</f>
        <v/>
      </c>
      <c r="I60" s="41" t="n"/>
      <c r="J60" s="39">
        <f>E60*$G$3</f>
        <v/>
      </c>
      <c r="K60" s="39">
        <f>G60*$G$3</f>
        <v/>
      </c>
      <c r="L60" s="40">
        <f>I60-G60</f>
        <v/>
      </c>
      <c r="M60" s="4">
        <f>IFERROR(L60/G60,0)</f>
        <v/>
      </c>
      <c r="N60" s="21" t="n"/>
      <c r="O60" s="21" t="n"/>
      <c r="P60" s="4">
        <f>IFERROR(O60/N60,0)</f>
        <v/>
      </c>
    </row>
    <row r="61">
      <c r="A61" s="23" t="n"/>
      <c r="B61" s="36" t="n"/>
      <c r="C61" s="1">
        <f>C60+1</f>
        <v/>
      </c>
      <c r="D61" s="21" t="n"/>
      <c r="E61" s="39">
        <f>D61+E60+J60</f>
        <v/>
      </c>
      <c r="F61" s="39">
        <f>IF(I60=0,(F60*$G$3+F60)-D60,I60-D60)</f>
        <v/>
      </c>
      <c r="G61" s="39">
        <f>IF(I60=0,0,I60-D60)</f>
        <v/>
      </c>
      <c r="H61" s="39">
        <f>(E61*$G$3)+E61</f>
        <v/>
      </c>
      <c r="I61" s="41" t="n"/>
      <c r="J61" s="39">
        <f>E61*$G$3</f>
        <v/>
      </c>
      <c r="K61" s="39">
        <f>G61*$G$3</f>
        <v/>
      </c>
      <c r="L61" s="40">
        <f>I61-G61</f>
        <v/>
      </c>
      <c r="M61" s="4">
        <f>IFERROR(L61/G61,0)</f>
        <v/>
      </c>
      <c r="N61" s="21" t="n"/>
      <c r="O61" s="21" t="n"/>
      <c r="P61" s="4">
        <f>IFERROR(O61/N61,0)</f>
        <v/>
      </c>
    </row>
    <row r="62">
      <c r="A62" s="23" t="n"/>
      <c r="B62" s="36" t="n"/>
      <c r="C62" s="1">
        <f>C61+1</f>
        <v/>
      </c>
      <c r="D62" s="21" t="n"/>
      <c r="E62" s="39">
        <f>D62+E61+J61</f>
        <v/>
      </c>
      <c r="F62" s="39">
        <f>IF(I61=0,(F61*$G$3+F61)-D61,I61-D61)</f>
        <v/>
      </c>
      <c r="G62" s="39">
        <f>IF(I61=0,0,I61-D61)</f>
        <v/>
      </c>
      <c r="H62" s="39">
        <f>(E62*$G$3)+E62</f>
        <v/>
      </c>
      <c r="I62" s="41" t="n"/>
      <c r="J62" s="39">
        <f>E62*$G$3</f>
        <v/>
      </c>
      <c r="K62" s="39">
        <f>G62*$G$3</f>
        <v/>
      </c>
      <c r="L62" s="40">
        <f>I62-G62</f>
        <v/>
      </c>
      <c r="M62" s="4">
        <f>IFERROR(L62/G62,0)</f>
        <v/>
      </c>
      <c r="N62" s="21" t="n"/>
      <c r="O62" s="21" t="n"/>
      <c r="P62" s="4">
        <f>IFERROR(O62/N62,0)</f>
        <v/>
      </c>
    </row>
    <row r="63">
      <c r="A63" s="23" t="n"/>
      <c r="B63" s="36" t="n"/>
      <c r="C63" s="1">
        <f>C62+1</f>
        <v/>
      </c>
      <c r="D63" s="21" t="n"/>
      <c r="E63" s="39">
        <f>D63+E62+J62</f>
        <v/>
      </c>
      <c r="F63" s="39">
        <f>IF(I62=0,(F62*$G$3+F62)-D62,I62-D62)</f>
        <v/>
      </c>
      <c r="G63" s="39">
        <f>IF(I62=0,0,I62-D62)</f>
        <v/>
      </c>
      <c r="H63" s="39">
        <f>(E63*$G$3)+E63</f>
        <v/>
      </c>
      <c r="I63" s="41" t="n"/>
      <c r="J63" s="39">
        <f>E63*$G$3</f>
        <v/>
      </c>
      <c r="K63" s="39">
        <f>G63*$G$3</f>
        <v/>
      </c>
      <c r="L63" s="40">
        <f>I63-G63</f>
        <v/>
      </c>
      <c r="M63" s="4">
        <f>IFERROR(L63/G63,0)</f>
        <v/>
      </c>
      <c r="N63" s="21" t="n"/>
      <c r="O63" s="21" t="n"/>
      <c r="P63" s="4">
        <f>IFERROR(O63/N63,0)</f>
        <v/>
      </c>
    </row>
    <row r="64">
      <c r="A64" s="23" t="n"/>
      <c r="B64" s="36" t="n"/>
      <c r="C64" s="1">
        <f>C63+1</f>
        <v/>
      </c>
      <c r="D64" s="21" t="n"/>
      <c r="E64" s="39">
        <f>D64+E63+J63</f>
        <v/>
      </c>
      <c r="F64" s="39">
        <f>IF(I63=0,(F63*$G$3+F63)-D63,I63-D63)</f>
        <v/>
      </c>
      <c r="G64" s="39">
        <f>IF(I63=0,0,I63-D63)</f>
        <v/>
      </c>
      <c r="H64" s="39">
        <f>(E64*$G$3)+E64</f>
        <v/>
      </c>
      <c r="I64" s="41" t="n"/>
      <c r="J64" s="39">
        <f>E64*$G$3</f>
        <v/>
      </c>
      <c r="K64" s="39">
        <f>G64*$G$3</f>
        <v/>
      </c>
      <c r="L64" s="40">
        <f>I64-G64</f>
        <v/>
      </c>
      <c r="M64" s="4">
        <f>IFERROR(L64/G64,0)</f>
        <v/>
      </c>
      <c r="N64" s="21" t="n"/>
      <c r="O64" s="21" t="n"/>
      <c r="P64" s="4">
        <f>IFERROR(O64/N64,0)</f>
        <v/>
      </c>
    </row>
    <row r="65">
      <c r="A65" s="23" t="n"/>
      <c r="B65" s="36" t="n"/>
      <c r="C65" s="1">
        <f>C64+1</f>
        <v/>
      </c>
      <c r="D65" s="21" t="n"/>
      <c r="E65" s="39">
        <f>D65+E64+J64</f>
        <v/>
      </c>
      <c r="F65" s="39">
        <f>IF(I64=0,(F64*$G$3+F64)-D64,I64-D64)</f>
        <v/>
      </c>
      <c r="G65" s="39">
        <f>IF(I64=0,0,I64-D64)</f>
        <v/>
      </c>
      <c r="H65" s="39">
        <f>(E65*$G$3)+E65</f>
        <v/>
      </c>
      <c r="I65" s="41" t="n"/>
      <c r="J65" s="39">
        <f>E65*$G$3</f>
        <v/>
      </c>
      <c r="K65" s="39">
        <f>G65*$G$3</f>
        <v/>
      </c>
      <c r="L65" s="40">
        <f>I65-G65</f>
        <v/>
      </c>
      <c r="M65" s="4">
        <f>IFERROR(L65/G65,0)</f>
        <v/>
      </c>
      <c r="N65" s="21" t="n"/>
      <c r="O65" s="21" t="n"/>
      <c r="P65" s="4">
        <f>IFERROR(O65/N65,0)</f>
        <v/>
      </c>
    </row>
    <row r="66">
      <c r="A66" s="23" t="n"/>
      <c r="B66" s="36" t="n"/>
      <c r="C66" s="1">
        <f>C65+1</f>
        <v/>
      </c>
      <c r="D66" s="21" t="n"/>
      <c r="E66" s="39">
        <f>D66+E65+J65</f>
        <v/>
      </c>
      <c r="F66" s="39">
        <f>IF(I65=0,(F65*$G$3+F65)-D65,I65-D65)</f>
        <v/>
      </c>
      <c r="G66" s="39">
        <f>IF(I65=0,0,I65-D65)</f>
        <v/>
      </c>
      <c r="H66" s="39">
        <f>(E66*$G$3)+E66</f>
        <v/>
      </c>
      <c r="I66" s="41" t="n"/>
      <c r="J66" s="39">
        <f>E66*$G$3</f>
        <v/>
      </c>
      <c r="K66" s="39">
        <f>G66*$G$3</f>
        <v/>
      </c>
      <c r="L66" s="40">
        <f>I66-G66</f>
        <v/>
      </c>
      <c r="M66" s="4">
        <f>IFERROR(L66/G66,0)</f>
        <v/>
      </c>
      <c r="N66" s="21" t="n"/>
      <c r="O66" s="21" t="n"/>
      <c r="P66" s="4">
        <f>IFERROR(O66/N66,0)</f>
        <v/>
      </c>
    </row>
    <row r="67">
      <c r="A67" s="23" t="n"/>
      <c r="B67" s="36" t="n"/>
      <c r="C67" s="1">
        <f>C66+1</f>
        <v/>
      </c>
      <c r="D67" s="21" t="n"/>
      <c r="E67" s="39">
        <f>D67+E66+J66</f>
        <v/>
      </c>
      <c r="F67" s="39">
        <f>IF(I66=0,(F66*$G$3+F66)-D66,I66-D66)</f>
        <v/>
      </c>
      <c r="G67" s="39">
        <f>IF(I66=0,0,I66-D66)</f>
        <v/>
      </c>
      <c r="H67" s="39">
        <f>(E67*$G$3)+E67</f>
        <v/>
      </c>
      <c r="I67" s="41" t="n"/>
      <c r="J67" s="39">
        <f>E67*$G$3</f>
        <v/>
      </c>
      <c r="K67" s="39">
        <f>G67*$G$3</f>
        <v/>
      </c>
      <c r="L67" s="40">
        <f>I67-G67</f>
        <v/>
      </c>
      <c r="M67" s="4">
        <f>IFERROR(L67/G67,0)</f>
        <v/>
      </c>
      <c r="N67" s="21" t="n"/>
      <c r="O67" s="21" t="n"/>
      <c r="P67" s="4">
        <f>IFERROR(O67/N67,0)</f>
        <v/>
      </c>
    </row>
    <row r="68">
      <c r="A68" s="23" t="n"/>
      <c r="B68" s="36" t="n"/>
      <c r="C68" s="1">
        <f>C67+1</f>
        <v/>
      </c>
      <c r="D68" s="21" t="n"/>
      <c r="E68" s="39">
        <f>D68+E67+J67</f>
        <v/>
      </c>
      <c r="F68" s="39">
        <f>IF(I67=0,(F67*$G$3+F67)-D67,I67-D67)</f>
        <v/>
      </c>
      <c r="G68" s="39">
        <f>IF(I67=0,0,I67-D67)</f>
        <v/>
      </c>
      <c r="H68" s="39">
        <f>(E68*$G$3)+E68</f>
        <v/>
      </c>
      <c r="I68" s="41" t="n"/>
      <c r="J68" s="39">
        <f>E68*$G$3</f>
        <v/>
      </c>
      <c r="K68" s="39">
        <f>G68*$G$3</f>
        <v/>
      </c>
      <c r="L68" s="40">
        <f>I68-G68</f>
        <v/>
      </c>
      <c r="M68" s="4">
        <f>IFERROR(L68/G68,0)</f>
        <v/>
      </c>
      <c r="N68" s="21" t="n"/>
      <c r="O68" s="21" t="n"/>
      <c r="P68" s="4">
        <f>IFERROR(O68/N68,0)</f>
        <v/>
      </c>
    </row>
    <row r="69">
      <c r="A69" s="23" t="n"/>
      <c r="B69" s="36" t="n"/>
      <c r="C69" s="1">
        <f>C68+1</f>
        <v/>
      </c>
      <c r="D69" s="21" t="n"/>
      <c r="E69" s="39">
        <f>D69+E68+J68</f>
        <v/>
      </c>
      <c r="F69" s="39">
        <f>IF(I68=0,(F68*$G$3+F68)-D68,I68-D68)</f>
        <v/>
      </c>
      <c r="G69" s="39">
        <f>IF(I68=0,0,I68-D68)</f>
        <v/>
      </c>
      <c r="H69" s="39">
        <f>(E69*$G$3)+E69</f>
        <v/>
      </c>
      <c r="I69" s="41" t="n"/>
      <c r="J69" s="39">
        <f>E69*$G$3</f>
        <v/>
      </c>
      <c r="K69" s="39">
        <f>G69*$G$3</f>
        <v/>
      </c>
      <c r="L69" s="40">
        <f>I69-G69</f>
        <v/>
      </c>
      <c r="M69" s="4">
        <f>IFERROR(L69/G69,0)</f>
        <v/>
      </c>
      <c r="N69" s="21" t="n"/>
      <c r="O69" s="21" t="n"/>
      <c r="P69" s="4">
        <f>IFERROR(O69/N69,0)</f>
        <v/>
      </c>
    </row>
    <row r="70">
      <c r="A70" s="23" t="n"/>
      <c r="B70" s="36" t="n"/>
      <c r="C70" s="1">
        <f>C69+1</f>
        <v/>
      </c>
      <c r="D70" s="21" t="n"/>
      <c r="E70" s="39">
        <f>D70+E69+J69</f>
        <v/>
      </c>
      <c r="F70" s="39">
        <f>IF(I69=0,(F69*$G$3+F69)-D69,I69-D69)</f>
        <v/>
      </c>
      <c r="G70" s="39">
        <f>IF(I69=0,0,I69-D69)</f>
        <v/>
      </c>
      <c r="H70" s="39">
        <f>(E70*$G$3)+E70</f>
        <v/>
      </c>
      <c r="I70" s="41" t="n"/>
      <c r="J70" s="39">
        <f>E70*$G$3</f>
        <v/>
      </c>
      <c r="K70" s="39">
        <f>G70*$G$3</f>
        <v/>
      </c>
      <c r="L70" s="40">
        <f>I70-G70</f>
        <v/>
      </c>
      <c r="M70" s="4">
        <f>IFERROR(L70/G70,0)</f>
        <v/>
      </c>
      <c r="N70" s="21" t="n"/>
      <c r="O70" s="21" t="n"/>
      <c r="P70" s="4">
        <f>IFERROR(O70/N70,0)</f>
        <v/>
      </c>
    </row>
    <row r="71">
      <c r="A71" s="23" t="n"/>
      <c r="B71" s="36" t="n"/>
      <c r="C71" s="1">
        <f>C70+1</f>
        <v/>
      </c>
      <c r="D71" s="21" t="n"/>
      <c r="E71" s="39">
        <f>D71+E70+J70</f>
        <v/>
      </c>
      <c r="F71" s="39">
        <f>IF(I70=0,(F70*$G$3+F70)-D70,I70-D70)</f>
        <v/>
      </c>
      <c r="G71" s="39">
        <f>IF(I70=0,0,I70-D70)</f>
        <v/>
      </c>
      <c r="H71" s="39">
        <f>(E71*$G$3)+E71</f>
        <v/>
      </c>
      <c r="I71" s="41" t="n"/>
      <c r="J71" s="39">
        <f>E71*$G$3</f>
        <v/>
      </c>
      <c r="K71" s="39">
        <f>G71*$G$3</f>
        <v/>
      </c>
      <c r="L71" s="40">
        <f>I71-G71</f>
        <v/>
      </c>
      <c r="M71" s="4">
        <f>IFERROR(L71/G71,0)</f>
        <v/>
      </c>
      <c r="N71" s="21" t="n"/>
      <c r="O71" s="21" t="n"/>
      <c r="P71" s="4">
        <f>IFERROR(O71/N71,0)</f>
        <v/>
      </c>
    </row>
    <row r="72">
      <c r="A72" s="23" t="n"/>
      <c r="B72" s="36" t="n"/>
      <c r="C72" s="1">
        <f>C71+1</f>
        <v/>
      </c>
      <c r="D72" s="21" t="n"/>
      <c r="E72" s="39">
        <f>D72+E71+J71</f>
        <v/>
      </c>
      <c r="F72" s="39">
        <f>IF(I71=0,(F71*$G$3+F71)-D71,I71-D71)</f>
        <v/>
      </c>
      <c r="G72" s="39">
        <f>IF(I71=0,0,I71-D71)</f>
        <v/>
      </c>
      <c r="H72" s="39">
        <f>(E72*$G$3)+E72</f>
        <v/>
      </c>
      <c r="I72" s="41" t="n"/>
      <c r="J72" s="39">
        <f>E72*$G$3</f>
        <v/>
      </c>
      <c r="K72" s="39">
        <f>G72*$G$3</f>
        <v/>
      </c>
      <c r="L72" s="40">
        <f>I72-G72</f>
        <v/>
      </c>
      <c r="M72" s="4">
        <f>IFERROR(L72/G72,0)</f>
        <v/>
      </c>
      <c r="N72" s="21" t="n"/>
      <c r="O72" s="21" t="n"/>
      <c r="P72" s="4">
        <f>IFERROR(O72/N72,0)</f>
        <v/>
      </c>
    </row>
    <row r="73">
      <c r="A73" s="23" t="n"/>
      <c r="B73" s="36" t="n"/>
      <c r="C73" s="1">
        <f>C72+1</f>
        <v/>
      </c>
      <c r="D73" s="21" t="n"/>
      <c r="E73" s="39">
        <f>D73+E72+J72</f>
        <v/>
      </c>
      <c r="F73" s="39">
        <f>IF(I72=0,(F72*$G$3+F72)-D72,I72-D72)</f>
        <v/>
      </c>
      <c r="G73" s="39">
        <f>IF(I72=0,0,I72-D72)</f>
        <v/>
      </c>
      <c r="H73" s="39">
        <f>(E73*$G$3)+E73</f>
        <v/>
      </c>
      <c r="I73" s="41" t="n"/>
      <c r="J73" s="39">
        <f>E73*$G$3</f>
        <v/>
      </c>
      <c r="K73" s="39">
        <f>G73*$G$3</f>
        <v/>
      </c>
      <c r="L73" s="40">
        <f>I73-G73</f>
        <v/>
      </c>
      <c r="M73" s="4">
        <f>IFERROR(L73/G73,0)</f>
        <v/>
      </c>
      <c r="N73" s="21" t="n"/>
      <c r="O73" s="21" t="n"/>
      <c r="P73" s="4">
        <f>IFERROR(O73/N73,0)</f>
        <v/>
      </c>
    </row>
    <row r="74">
      <c r="A74" s="23" t="n"/>
      <c r="B74" s="36" t="n"/>
      <c r="C74" s="1">
        <f>C73+1</f>
        <v/>
      </c>
      <c r="D74" s="21" t="n"/>
      <c r="E74" s="39">
        <f>D74+E73+J73</f>
        <v/>
      </c>
      <c r="F74" s="39">
        <f>IF(I73=0,(F73*$G$3+F73)-D73,I73-D73)</f>
        <v/>
      </c>
      <c r="G74" s="39">
        <f>IF(I73=0,0,I73-D73)</f>
        <v/>
      </c>
      <c r="H74" s="39">
        <f>(E74*$G$3)+E74</f>
        <v/>
      </c>
      <c r="I74" s="41" t="n"/>
      <c r="J74" s="39">
        <f>E74*$G$3</f>
        <v/>
      </c>
      <c r="K74" s="39">
        <f>G74*$G$3</f>
        <v/>
      </c>
      <c r="L74" s="40">
        <f>I74-G74</f>
        <v/>
      </c>
      <c r="M74" s="4">
        <f>IFERROR(L74/G74,0)</f>
        <v/>
      </c>
      <c r="N74" s="21" t="n"/>
      <c r="O74" s="21" t="n"/>
      <c r="P74" s="4">
        <f>IFERROR(O74/N74,0)</f>
        <v/>
      </c>
    </row>
    <row r="75">
      <c r="A75" s="23" t="n"/>
      <c r="B75" s="36" t="n"/>
      <c r="C75" s="1">
        <f>C74+1</f>
        <v/>
      </c>
      <c r="D75" s="21" t="n"/>
      <c r="E75" s="39">
        <f>D75+E74+J74</f>
        <v/>
      </c>
      <c r="F75" s="39">
        <f>IF(I74=0,(F74*$G$3+F74)-D74,I74-D74)</f>
        <v/>
      </c>
      <c r="G75" s="39">
        <f>IF(I74=0,0,I74-D74)</f>
        <v/>
      </c>
      <c r="H75" s="39">
        <f>(E75*$G$3)+E75</f>
        <v/>
      </c>
      <c r="I75" s="41" t="n"/>
      <c r="J75" s="39">
        <f>E75*$G$3</f>
        <v/>
      </c>
      <c r="K75" s="39">
        <f>G75*$G$3</f>
        <v/>
      </c>
      <c r="L75" s="40">
        <f>I75-G75</f>
        <v/>
      </c>
      <c r="M75" s="4">
        <f>IFERROR(L75/G75,0)</f>
        <v/>
      </c>
      <c r="N75" s="21" t="n"/>
      <c r="O75" s="21" t="n"/>
      <c r="P75" s="4">
        <f>IFERROR(O75/N75,0)</f>
        <v/>
      </c>
    </row>
    <row r="76">
      <c r="A76" s="23" t="n"/>
      <c r="B76" s="36" t="n"/>
      <c r="C76" s="1">
        <f>C75+1</f>
        <v/>
      </c>
      <c r="D76" s="21" t="n"/>
      <c r="E76" s="39">
        <f>D76+E75+J75</f>
        <v/>
      </c>
      <c r="F76" s="39">
        <f>IF(I75=0,(F75*$G$3+F75)-D75,I75-D75)</f>
        <v/>
      </c>
      <c r="G76" s="39">
        <f>IF(I75=0,0,I75-D75)</f>
        <v/>
      </c>
      <c r="H76" s="39">
        <f>(E76*$G$3)+E76</f>
        <v/>
      </c>
      <c r="I76" s="41" t="n"/>
      <c r="J76" s="39">
        <f>E76*$G$3</f>
        <v/>
      </c>
      <c r="K76" s="39">
        <f>G76*$G$3</f>
        <v/>
      </c>
      <c r="L76" s="40">
        <f>I76-G76</f>
        <v/>
      </c>
      <c r="M76" s="4">
        <f>IFERROR(L76/G76,0)</f>
        <v/>
      </c>
      <c r="N76" s="21" t="n"/>
      <c r="O76" s="21" t="n"/>
      <c r="P76" s="4">
        <f>IFERROR(O76/N76,0)</f>
        <v/>
      </c>
    </row>
    <row r="77">
      <c r="A77" s="23" t="n"/>
      <c r="B77" s="36" t="n"/>
      <c r="C77" s="1">
        <f>C76+1</f>
        <v/>
      </c>
      <c r="D77" s="21" t="n"/>
      <c r="E77" s="39">
        <f>D77+E76+J76</f>
        <v/>
      </c>
      <c r="F77" s="39">
        <f>IF(I76=0,(F76*$G$3+F76)-D76,I76-D76)</f>
        <v/>
      </c>
      <c r="G77" s="39">
        <f>IF(I76=0,0,I76-D76)</f>
        <v/>
      </c>
      <c r="H77" s="39">
        <f>(E77*$G$3)+E77</f>
        <v/>
      </c>
      <c r="I77" s="41" t="n"/>
      <c r="J77" s="39">
        <f>E77*$G$3</f>
        <v/>
      </c>
      <c r="K77" s="39">
        <f>G77*$G$3</f>
        <v/>
      </c>
      <c r="L77" s="40">
        <f>I77-G77</f>
        <v/>
      </c>
      <c r="M77" s="4">
        <f>IFERROR(L77/G77,0)</f>
        <v/>
      </c>
      <c r="N77" s="21" t="n"/>
      <c r="O77" s="21" t="n"/>
      <c r="P77" s="4">
        <f>IFERROR(O77/N77,0)</f>
        <v/>
      </c>
    </row>
    <row r="78">
      <c r="A78" s="23" t="n"/>
      <c r="B78" s="36" t="n"/>
      <c r="C78" s="1">
        <f>C77+1</f>
        <v/>
      </c>
      <c r="D78" s="21" t="n"/>
      <c r="E78" s="39">
        <f>D78+E77+J77</f>
        <v/>
      </c>
      <c r="F78" s="39">
        <f>IF(I77=0,(F77*$G$3+F77)-D77,I77-D77)</f>
        <v/>
      </c>
      <c r="G78" s="39">
        <f>IF(I77=0,0,I77-D77)</f>
        <v/>
      </c>
      <c r="H78" s="39">
        <f>(E78*$G$3)+E78</f>
        <v/>
      </c>
      <c r="I78" s="41" t="n"/>
      <c r="J78" s="39">
        <f>E78*$G$3</f>
        <v/>
      </c>
      <c r="K78" s="39">
        <f>G78*$G$3</f>
        <v/>
      </c>
      <c r="L78" s="40">
        <f>I78-G78</f>
        <v/>
      </c>
      <c r="M78" s="4">
        <f>IFERROR(L78/G78,0)</f>
        <v/>
      </c>
      <c r="N78" s="21" t="n"/>
      <c r="O78" s="21" t="n"/>
      <c r="P78" s="4">
        <f>IFERROR(O78/N78,0)</f>
        <v/>
      </c>
    </row>
    <row r="79">
      <c r="A79" s="23" t="n"/>
      <c r="B79" s="36" t="n"/>
      <c r="C79" s="1">
        <f>C78+1</f>
        <v/>
      </c>
      <c r="D79" s="21" t="n"/>
      <c r="E79" s="39">
        <f>D79+E78+J78</f>
        <v/>
      </c>
      <c r="F79" s="39">
        <f>IF(I78=0,(F78*$G$3+F78)-D78,I78-D78)</f>
        <v/>
      </c>
      <c r="G79" s="39">
        <f>IF(I78=0,0,I78-D78)</f>
        <v/>
      </c>
      <c r="H79" s="39">
        <f>(E79*$G$3)+E79</f>
        <v/>
      </c>
      <c r="I79" s="41" t="n"/>
      <c r="J79" s="39">
        <f>E79*$G$3</f>
        <v/>
      </c>
      <c r="K79" s="39">
        <f>G79*$G$3</f>
        <v/>
      </c>
      <c r="L79" s="40">
        <f>I79-G79</f>
        <v/>
      </c>
      <c r="M79" s="4">
        <f>IFERROR(L79/G79,0)</f>
        <v/>
      </c>
      <c r="N79" s="21" t="n"/>
      <c r="O79" s="21" t="n"/>
      <c r="P79" s="4">
        <f>IFERROR(O79/N79,0)</f>
        <v/>
      </c>
    </row>
    <row r="80">
      <c r="A80" s="23" t="n"/>
      <c r="B80" s="36" t="n"/>
      <c r="C80" s="1">
        <f>C79+1</f>
        <v/>
      </c>
      <c r="D80" s="21" t="n"/>
      <c r="E80" s="39">
        <f>D80+E79+J79</f>
        <v/>
      </c>
      <c r="F80" s="39">
        <f>IF(I79=0,(F79*$G$3+F79)-D79,I79-D79)</f>
        <v/>
      </c>
      <c r="G80" s="39">
        <f>IF(I79=0,0,I79-D79)</f>
        <v/>
      </c>
      <c r="H80" s="39">
        <f>(E80*$G$3)+E80</f>
        <v/>
      </c>
      <c r="I80" s="41" t="n"/>
      <c r="J80" s="39">
        <f>E80*$G$3</f>
        <v/>
      </c>
      <c r="K80" s="39">
        <f>G80*$G$3</f>
        <v/>
      </c>
      <c r="L80" s="40">
        <f>I80-G80</f>
        <v/>
      </c>
      <c r="M80" s="4">
        <f>IFERROR(L80/G80,0)</f>
        <v/>
      </c>
      <c r="N80" s="21" t="n"/>
      <c r="O80" s="21" t="n"/>
      <c r="P80" s="4">
        <f>IFERROR(O80/N80,0)</f>
        <v/>
      </c>
    </row>
    <row r="81">
      <c r="A81" s="23" t="n"/>
      <c r="B81" s="36" t="n"/>
      <c r="C81" s="1">
        <f>C80+1</f>
        <v/>
      </c>
      <c r="D81" s="21" t="n"/>
      <c r="E81" s="39">
        <f>D81+E80+J80</f>
        <v/>
      </c>
      <c r="F81" s="39">
        <f>IF(I80=0,(F80*$G$3+F80)-D80,I80-D80)</f>
        <v/>
      </c>
      <c r="G81" s="39">
        <f>IF(I80=0,0,I80-D80)</f>
        <v/>
      </c>
      <c r="H81" s="39">
        <f>(E81*$G$3)+E81</f>
        <v/>
      </c>
      <c r="I81" s="41" t="n"/>
      <c r="J81" s="39">
        <f>E81*$G$3</f>
        <v/>
      </c>
      <c r="K81" s="39">
        <f>G81*$G$3</f>
        <v/>
      </c>
      <c r="L81" s="40">
        <f>I81-G81</f>
        <v/>
      </c>
      <c r="M81" s="4">
        <f>IFERROR(L81/G81,0)</f>
        <v/>
      </c>
      <c r="N81" s="21" t="n"/>
      <c r="O81" s="21" t="n"/>
      <c r="P81" s="4">
        <f>IFERROR(O81/N81,0)</f>
        <v/>
      </c>
    </row>
    <row r="82">
      <c r="A82" s="23" t="n"/>
      <c r="B82" s="36" t="n"/>
      <c r="C82" s="1">
        <f>C81+1</f>
        <v/>
      </c>
      <c r="D82" s="21" t="n"/>
      <c r="E82" s="39">
        <f>D82+E81+J81</f>
        <v/>
      </c>
      <c r="F82" s="39">
        <f>IF(I81=0,(F81*$G$3+F81)-D81,I81-D81)</f>
        <v/>
      </c>
      <c r="G82" s="39">
        <f>IF(I81=0,0,I81-D81)</f>
        <v/>
      </c>
      <c r="H82" s="39">
        <f>(E82*$G$3)+E82</f>
        <v/>
      </c>
      <c r="I82" s="41" t="n"/>
      <c r="J82" s="39">
        <f>E82*$G$3</f>
        <v/>
      </c>
      <c r="K82" s="39">
        <f>G82*$G$3</f>
        <v/>
      </c>
      <c r="L82" s="40">
        <f>I82-G82</f>
        <v/>
      </c>
      <c r="M82" s="4">
        <f>IFERROR(L82/G82,0)</f>
        <v/>
      </c>
      <c r="N82" s="21" t="n"/>
      <c r="O82" s="21" t="n"/>
      <c r="P82" s="4">
        <f>IFERROR(O82/N82,0)</f>
        <v/>
      </c>
    </row>
    <row r="83">
      <c r="A83" s="23" t="n"/>
      <c r="B83" s="36" t="n"/>
      <c r="C83" s="1">
        <f>C82+1</f>
        <v/>
      </c>
      <c r="D83" s="21" t="n"/>
      <c r="E83" s="39">
        <f>D83+E82+J82</f>
        <v/>
      </c>
      <c r="F83" s="39">
        <f>IF(I82=0,(F82*$G$3+F82)-D82,I82-D82)</f>
        <v/>
      </c>
      <c r="G83" s="39">
        <f>IF(I82=0,0,I82-D82)</f>
        <v/>
      </c>
      <c r="H83" s="39">
        <f>(E83*$G$3)+E83</f>
        <v/>
      </c>
      <c r="I83" s="41" t="n"/>
      <c r="J83" s="39">
        <f>E83*$G$3</f>
        <v/>
      </c>
      <c r="K83" s="39">
        <f>G83*$G$3</f>
        <v/>
      </c>
      <c r="L83" s="40">
        <f>I83-G83</f>
        <v/>
      </c>
      <c r="M83" s="4">
        <f>IFERROR(L83/G83,0)</f>
        <v/>
      </c>
      <c r="N83" s="21" t="n"/>
      <c r="O83" s="21" t="n"/>
      <c r="P83" s="4">
        <f>IFERROR(O83/N83,0)</f>
        <v/>
      </c>
    </row>
    <row r="84">
      <c r="A84" s="23" t="n"/>
      <c r="B84" s="36" t="n"/>
      <c r="C84" s="1">
        <f>C83+1</f>
        <v/>
      </c>
      <c r="D84" s="21" t="n"/>
      <c r="E84" s="39">
        <f>D84+E83+J83</f>
        <v/>
      </c>
      <c r="F84" s="39">
        <f>IF(I83=0,(F83*$G$3+F83)-D83,I83-D83)</f>
        <v/>
      </c>
      <c r="G84" s="39">
        <f>IF(I83=0,0,I83-D83)</f>
        <v/>
      </c>
      <c r="H84" s="39">
        <f>(E84*$G$3)+E84</f>
        <v/>
      </c>
      <c r="I84" s="41" t="n"/>
      <c r="J84" s="39">
        <f>E84*$G$3</f>
        <v/>
      </c>
      <c r="K84" s="39">
        <f>G84*$G$3</f>
        <v/>
      </c>
      <c r="L84" s="40">
        <f>I84-G84</f>
        <v/>
      </c>
      <c r="M84" s="4">
        <f>IFERROR(L84/G84,0)</f>
        <v/>
      </c>
      <c r="N84" s="21" t="n"/>
      <c r="O84" s="21" t="n"/>
      <c r="P84" s="4">
        <f>IFERROR(O84/N84,0)</f>
        <v/>
      </c>
    </row>
    <row r="85">
      <c r="A85" s="23" t="n"/>
      <c r="B85" s="36" t="n"/>
      <c r="C85" s="1">
        <f>C84+1</f>
        <v/>
      </c>
      <c r="D85" s="21" t="n"/>
      <c r="E85" s="39">
        <f>D85+E84+J84</f>
        <v/>
      </c>
      <c r="F85" s="39">
        <f>IF(I84=0,(F84*$G$3+F84)-D84,I84-D84)</f>
        <v/>
      </c>
      <c r="G85" s="39">
        <f>IF(I84=0,0,I84-D84)</f>
        <v/>
      </c>
      <c r="H85" s="39">
        <f>(E85*$G$3)+E85</f>
        <v/>
      </c>
      <c r="I85" s="41" t="n"/>
      <c r="J85" s="39">
        <f>E85*$G$3</f>
        <v/>
      </c>
      <c r="K85" s="39">
        <f>G85*$G$3</f>
        <v/>
      </c>
      <c r="L85" s="40">
        <f>I85-G85</f>
        <v/>
      </c>
      <c r="M85" s="4">
        <f>IFERROR(L85/G85,0)</f>
        <v/>
      </c>
      <c r="N85" s="21" t="n"/>
      <c r="O85" s="21" t="n"/>
      <c r="P85" s="4">
        <f>IFERROR(O85/N85,0)</f>
        <v/>
      </c>
    </row>
    <row r="86">
      <c r="A86" s="23" t="n"/>
      <c r="B86" s="36" t="n"/>
      <c r="C86" s="1">
        <f>C85+1</f>
        <v/>
      </c>
      <c r="D86" s="21" t="n"/>
      <c r="E86" s="39">
        <f>D86+E85+J85</f>
        <v/>
      </c>
      <c r="F86" s="39">
        <f>IF(I85=0,(F85*$G$3+F85)-D85,I85-D85)</f>
        <v/>
      </c>
      <c r="G86" s="39">
        <f>IF(I85=0,0,I85-D85)</f>
        <v/>
      </c>
      <c r="H86" s="39">
        <f>(E86*$G$3)+E86</f>
        <v/>
      </c>
      <c r="I86" s="41" t="n"/>
      <c r="J86" s="39">
        <f>E86*$G$3</f>
        <v/>
      </c>
      <c r="K86" s="39">
        <f>G86*$G$3</f>
        <v/>
      </c>
      <c r="L86" s="40">
        <f>I86-G86</f>
        <v/>
      </c>
      <c r="M86" s="4">
        <f>IFERROR(L86/G86,0)</f>
        <v/>
      </c>
      <c r="N86" s="21" t="n"/>
      <c r="O86" s="21" t="n"/>
      <c r="P86" s="4">
        <f>IFERROR(O86/N86,0)</f>
        <v/>
      </c>
    </row>
    <row r="87">
      <c r="A87" s="23" t="n"/>
      <c r="B87" s="36" t="n"/>
      <c r="C87" s="1">
        <f>C86+1</f>
        <v/>
      </c>
      <c r="D87" s="21" t="n"/>
      <c r="E87" s="39">
        <f>D87+E86+J86</f>
        <v/>
      </c>
      <c r="F87" s="39">
        <f>IF(I86=0,(F86*$G$3+F86)-D86,I86-D86)</f>
        <v/>
      </c>
      <c r="G87" s="39">
        <f>IF(I86=0,0,I86-D86)</f>
        <v/>
      </c>
      <c r="H87" s="39">
        <f>(E87*$G$3)+E87</f>
        <v/>
      </c>
      <c r="I87" s="41" t="n"/>
      <c r="J87" s="39">
        <f>E87*$G$3</f>
        <v/>
      </c>
      <c r="K87" s="39">
        <f>G87*$G$3</f>
        <v/>
      </c>
      <c r="L87" s="40">
        <f>I87-G87</f>
        <v/>
      </c>
      <c r="M87" s="4">
        <f>IFERROR(L87/G87,0)</f>
        <v/>
      </c>
      <c r="N87" s="21" t="n"/>
      <c r="O87" s="21" t="n"/>
      <c r="P87" s="4">
        <f>IFERROR(O87/N87,0)</f>
        <v/>
      </c>
    </row>
    <row r="88">
      <c r="A88" s="23" t="n"/>
      <c r="B88" s="36" t="n"/>
      <c r="C88" s="1">
        <f>C87+1</f>
        <v/>
      </c>
      <c r="D88" s="21" t="n"/>
      <c r="E88" s="39">
        <f>D88+E87+J87</f>
        <v/>
      </c>
      <c r="F88" s="39">
        <f>IF(I87=0,(F87*$G$3+F87)-D87,I87-D87)</f>
        <v/>
      </c>
      <c r="G88" s="39">
        <f>IF(I87=0,0,I87-D87)</f>
        <v/>
      </c>
      <c r="H88" s="39">
        <f>(E88*$G$3)+E88</f>
        <v/>
      </c>
      <c r="I88" s="41" t="n"/>
      <c r="J88" s="39">
        <f>E88*$G$3</f>
        <v/>
      </c>
      <c r="K88" s="39">
        <f>G88*$G$3</f>
        <v/>
      </c>
      <c r="L88" s="40">
        <f>I88-G88</f>
        <v/>
      </c>
      <c r="M88" s="4">
        <f>IFERROR(L88/G88,0)</f>
        <v/>
      </c>
      <c r="N88" s="21" t="n"/>
      <c r="O88" s="21" t="n"/>
      <c r="P88" s="4">
        <f>IFERROR(O88/N88,0)</f>
        <v/>
      </c>
    </row>
    <row r="89">
      <c r="A89" s="23" t="n"/>
      <c r="B89" s="36" t="n"/>
      <c r="C89" s="1">
        <f>C88+1</f>
        <v/>
      </c>
      <c r="D89" s="21" t="n"/>
      <c r="E89" s="39">
        <f>D89+E88+J88</f>
        <v/>
      </c>
      <c r="F89" s="39">
        <f>IF(I88=0,(F88*$G$3+F88)-D88,I88-D88)</f>
        <v/>
      </c>
      <c r="G89" s="39">
        <f>IF(I88=0,0,I88-D88)</f>
        <v/>
      </c>
      <c r="H89" s="39">
        <f>(E89*$G$3)+E89</f>
        <v/>
      </c>
      <c r="I89" s="41" t="n"/>
      <c r="J89" s="39">
        <f>E89*$G$3</f>
        <v/>
      </c>
      <c r="K89" s="39">
        <f>G89*$G$3</f>
        <v/>
      </c>
      <c r="L89" s="40">
        <f>I89-G89</f>
        <v/>
      </c>
      <c r="M89" s="4">
        <f>IFERROR(L89/G89,0)</f>
        <v/>
      </c>
      <c r="N89" s="21" t="n"/>
      <c r="O89" s="21" t="n"/>
      <c r="P89" s="4">
        <f>IFERROR(O89/N89,0)</f>
        <v/>
      </c>
    </row>
    <row r="90">
      <c r="A90" s="23" t="n"/>
      <c r="B90" s="36" t="n"/>
      <c r="C90" s="1">
        <f>C89+1</f>
        <v/>
      </c>
      <c r="D90" s="21" t="n"/>
      <c r="E90" s="39">
        <f>D90+E89+J89</f>
        <v/>
      </c>
      <c r="F90" s="39">
        <f>IF(I89=0,(F89*$G$3+F89)-D89,I89-D89)</f>
        <v/>
      </c>
      <c r="G90" s="39">
        <f>IF(I89=0,0,I89-D89)</f>
        <v/>
      </c>
      <c r="H90" s="39">
        <f>(E90*$G$3)+E90</f>
        <v/>
      </c>
      <c r="I90" s="41" t="n"/>
      <c r="J90" s="39">
        <f>E90*$G$3</f>
        <v/>
      </c>
      <c r="K90" s="39">
        <f>G90*$G$3</f>
        <v/>
      </c>
      <c r="L90" s="40">
        <f>I90-G90</f>
        <v/>
      </c>
      <c r="M90" s="4">
        <f>IFERROR(L90/G90,0)</f>
        <v/>
      </c>
      <c r="N90" s="21" t="n"/>
      <c r="O90" s="21" t="n"/>
      <c r="P90" s="4">
        <f>IFERROR(O90/N90,0)</f>
        <v/>
      </c>
    </row>
    <row r="91">
      <c r="A91" s="23" t="n"/>
      <c r="B91" s="36" t="n"/>
      <c r="C91" s="1">
        <f>C90+1</f>
        <v/>
      </c>
      <c r="D91" s="21" t="n"/>
      <c r="E91" s="39">
        <f>D91+E90+J90</f>
        <v/>
      </c>
      <c r="F91" s="39">
        <f>IF(I90=0,(F90*$G$3+F90)-D90,I90-D90)</f>
        <v/>
      </c>
      <c r="G91" s="39">
        <f>IF(I90=0,0,I90-D90)</f>
        <v/>
      </c>
      <c r="H91" s="39">
        <f>(E91*$G$3)+E91</f>
        <v/>
      </c>
      <c r="I91" s="41" t="n"/>
      <c r="J91" s="39">
        <f>E91*$G$3</f>
        <v/>
      </c>
      <c r="K91" s="39">
        <f>G91*$G$3</f>
        <v/>
      </c>
      <c r="L91" s="40">
        <f>I91-G91</f>
        <v/>
      </c>
      <c r="M91" s="4">
        <f>IFERROR(L91/G91,0)</f>
        <v/>
      </c>
      <c r="N91" s="21" t="n"/>
      <c r="O91" s="21" t="n"/>
      <c r="P91" s="4">
        <f>IFERROR(O91/N91,0)</f>
        <v/>
      </c>
    </row>
    <row r="92">
      <c r="A92" s="23" t="n"/>
      <c r="B92" s="36" t="n"/>
      <c r="C92" s="1">
        <f>C91+1</f>
        <v/>
      </c>
      <c r="D92" s="21" t="n"/>
      <c r="E92" s="39">
        <f>D92+E91+J91</f>
        <v/>
      </c>
      <c r="F92" s="39">
        <f>IF(I91=0,(F91*$G$3+F91)-D91,I91-D91)</f>
        <v/>
      </c>
      <c r="G92" s="39">
        <f>IF(I91=0,0,I91-D91)</f>
        <v/>
      </c>
      <c r="H92" s="39">
        <f>(E92*$G$3)+E92</f>
        <v/>
      </c>
      <c r="I92" s="41" t="n"/>
      <c r="J92" s="39">
        <f>E92*$G$3</f>
        <v/>
      </c>
      <c r="K92" s="39">
        <f>G92*$G$3</f>
        <v/>
      </c>
      <c r="L92" s="40">
        <f>I92-G92</f>
        <v/>
      </c>
      <c r="M92" s="4">
        <f>IFERROR(L92/G92,0)</f>
        <v/>
      </c>
      <c r="N92" s="21" t="n"/>
      <c r="O92" s="21" t="n"/>
      <c r="P92" s="4">
        <f>IFERROR(O92/N92,0)</f>
        <v/>
      </c>
    </row>
    <row r="93">
      <c r="A93" s="23" t="n"/>
      <c r="B93" s="36" t="n"/>
      <c r="C93" s="1">
        <f>C92+1</f>
        <v/>
      </c>
      <c r="D93" s="21" t="n"/>
      <c r="E93" s="39">
        <f>D93+E92+J92</f>
        <v/>
      </c>
      <c r="F93" s="39">
        <f>IF(I92=0,(F92*$G$3+F92)-D92,I92-D92)</f>
        <v/>
      </c>
      <c r="G93" s="39">
        <f>IF(I92=0,0,I92-D92)</f>
        <v/>
      </c>
      <c r="H93" s="39">
        <f>(E93*$G$3)+E93</f>
        <v/>
      </c>
      <c r="I93" s="41" t="n"/>
      <c r="J93" s="39">
        <f>E93*$G$3</f>
        <v/>
      </c>
      <c r="K93" s="39">
        <f>G93*$G$3</f>
        <v/>
      </c>
      <c r="L93" s="40">
        <f>I93-G93</f>
        <v/>
      </c>
      <c r="M93" s="4">
        <f>IFERROR(L93/G93,0)</f>
        <v/>
      </c>
      <c r="N93" s="21" t="n"/>
      <c r="O93" s="21" t="n"/>
      <c r="P93" s="4">
        <f>IFERROR(O93/N93,0)</f>
        <v/>
      </c>
    </row>
    <row r="94">
      <c r="A94" s="23" t="n"/>
      <c r="B94" s="36" t="n"/>
      <c r="C94" s="1">
        <f>C93+1</f>
        <v/>
      </c>
      <c r="D94" s="21" t="n"/>
      <c r="E94" s="39">
        <f>D94+E93+J93</f>
        <v/>
      </c>
      <c r="F94" s="39">
        <f>IF(I93=0,(F93*$G$3+F93)-D93,I93-D93)</f>
        <v/>
      </c>
      <c r="G94" s="39">
        <f>IF(I93=0,0,I93-D93)</f>
        <v/>
      </c>
      <c r="H94" s="39">
        <f>(E94*$G$3)+E94</f>
        <v/>
      </c>
      <c r="I94" s="41" t="n"/>
      <c r="J94" s="39">
        <f>E94*$G$3</f>
        <v/>
      </c>
      <c r="K94" s="39">
        <f>G94*$G$3</f>
        <v/>
      </c>
      <c r="L94" s="40">
        <f>I94-G94</f>
        <v/>
      </c>
      <c r="M94" s="4">
        <f>IFERROR(L94/G94,0)</f>
        <v/>
      </c>
      <c r="N94" s="21" t="n"/>
      <c r="O94" s="21" t="n"/>
      <c r="P94" s="4">
        <f>IFERROR(O94/N94,0)</f>
        <v/>
      </c>
    </row>
    <row r="95">
      <c r="A95" s="23" t="n"/>
      <c r="B95" s="36" t="n"/>
      <c r="C95" s="1">
        <f>C94+1</f>
        <v/>
      </c>
      <c r="D95" s="21" t="n"/>
      <c r="E95" s="39">
        <f>D95+E94+J94</f>
        <v/>
      </c>
      <c r="F95" s="39">
        <f>IF(I94=0,(F94*$G$3+F94)-D94,I94-D94)</f>
        <v/>
      </c>
      <c r="G95" s="39">
        <f>IF(I94=0,0,I94-D94)</f>
        <v/>
      </c>
      <c r="H95" s="39">
        <f>(E95*$G$3)+E95</f>
        <v/>
      </c>
      <c r="I95" s="41" t="n"/>
      <c r="J95" s="39">
        <f>E95*$G$3</f>
        <v/>
      </c>
      <c r="K95" s="39">
        <f>G95*$G$3</f>
        <v/>
      </c>
      <c r="L95" s="40">
        <f>I95-G95</f>
        <v/>
      </c>
      <c r="M95" s="4">
        <f>IFERROR(L95/G95,0)</f>
        <v/>
      </c>
      <c r="N95" s="21" t="n"/>
      <c r="O95" s="21" t="n"/>
      <c r="P95" s="4">
        <f>IFERROR(O95/N95,0)</f>
        <v/>
      </c>
    </row>
    <row r="96">
      <c r="A96" s="23" t="n"/>
      <c r="B96" s="36" t="n"/>
      <c r="C96" s="1">
        <f>C95+1</f>
        <v/>
      </c>
      <c r="D96" s="21" t="n"/>
      <c r="E96" s="39">
        <f>D96+E95+J95</f>
        <v/>
      </c>
      <c r="F96" s="39">
        <f>IF(I95=0,(F95*$G$3+F95)-D95,I95-D95)</f>
        <v/>
      </c>
      <c r="G96" s="39">
        <f>IF(I95=0,0,I95-D95)</f>
        <v/>
      </c>
      <c r="H96" s="39">
        <f>(E96*$G$3)+E96</f>
        <v/>
      </c>
      <c r="I96" s="41" t="n"/>
      <c r="J96" s="39">
        <f>E96*$G$3</f>
        <v/>
      </c>
      <c r="K96" s="39">
        <f>G96*$G$3</f>
        <v/>
      </c>
      <c r="L96" s="40">
        <f>I96-G96</f>
        <v/>
      </c>
      <c r="M96" s="4">
        <f>IFERROR(L96/G96,0)</f>
        <v/>
      </c>
      <c r="N96" s="21" t="n"/>
      <c r="O96" s="21" t="n"/>
      <c r="P96" s="4">
        <f>IFERROR(O96/N96,0)</f>
        <v/>
      </c>
    </row>
    <row r="97">
      <c r="A97" s="23" t="n"/>
      <c r="B97" s="36" t="n"/>
      <c r="C97" s="1">
        <f>C96+1</f>
        <v/>
      </c>
      <c r="D97" s="21" t="n"/>
      <c r="E97" s="39">
        <f>D97+E96+J96</f>
        <v/>
      </c>
      <c r="F97" s="39">
        <f>IF(I96=0,(F96*$G$3+F96)-D96,I96-D96)</f>
        <v/>
      </c>
      <c r="G97" s="39">
        <f>IF(I96=0,0,I96-D96)</f>
        <v/>
      </c>
      <c r="H97" s="39">
        <f>(E97*$G$3)+E97</f>
        <v/>
      </c>
      <c r="I97" s="41" t="n"/>
      <c r="J97" s="39">
        <f>E97*$G$3</f>
        <v/>
      </c>
      <c r="K97" s="39">
        <f>G97*$G$3</f>
        <v/>
      </c>
      <c r="L97" s="40">
        <f>I97-G97</f>
        <v/>
      </c>
      <c r="M97" s="4">
        <f>IFERROR(L97/G97,0)</f>
        <v/>
      </c>
      <c r="N97" s="21" t="n"/>
      <c r="O97" s="21" t="n"/>
      <c r="P97" s="4">
        <f>IFERROR(O97/N97,0)</f>
        <v/>
      </c>
    </row>
    <row r="98">
      <c r="A98" s="23" t="n"/>
      <c r="B98" s="36" t="n"/>
      <c r="C98" s="1">
        <f>C97+1</f>
        <v/>
      </c>
      <c r="D98" s="21" t="n"/>
      <c r="E98" s="39">
        <f>D98+E97+J97</f>
        <v/>
      </c>
      <c r="F98" s="39">
        <f>IF(I97=0,(F97*$G$3+F97)-D97,I97-D97)</f>
        <v/>
      </c>
      <c r="G98" s="39">
        <f>IF(I97=0,0,I97-D97)</f>
        <v/>
      </c>
      <c r="H98" s="39">
        <f>(E98*$G$3)+E98</f>
        <v/>
      </c>
      <c r="I98" s="41" t="n"/>
      <c r="J98" s="39">
        <f>E98*$G$3</f>
        <v/>
      </c>
      <c r="K98" s="39">
        <f>G98*$G$3</f>
        <v/>
      </c>
      <c r="L98" s="40">
        <f>I98-G98</f>
        <v/>
      </c>
      <c r="M98" s="4">
        <f>IFERROR(L98/G98,0)</f>
        <v/>
      </c>
      <c r="N98" s="21" t="n"/>
      <c r="O98" s="21" t="n"/>
      <c r="P98" s="4">
        <f>IFERROR(O98/N98,0)</f>
        <v/>
      </c>
    </row>
    <row r="99">
      <c r="A99" s="23" t="n"/>
      <c r="B99" s="36" t="n"/>
      <c r="C99" s="1">
        <f>C98+1</f>
        <v/>
      </c>
      <c r="D99" s="21" t="n"/>
      <c r="E99" s="39">
        <f>D99+E98+J98</f>
        <v/>
      </c>
      <c r="F99" s="39">
        <f>IF(I98=0,(F98*$G$3+F98)-D98,I98-D98)</f>
        <v/>
      </c>
      <c r="G99" s="39">
        <f>IF(I98=0,0,I98-D98)</f>
        <v/>
      </c>
      <c r="H99" s="39">
        <f>(E99*$G$3)+E99</f>
        <v/>
      </c>
      <c r="I99" s="41" t="n"/>
      <c r="J99" s="39">
        <f>E99*$G$3</f>
        <v/>
      </c>
      <c r="K99" s="39">
        <f>G99*$G$3</f>
        <v/>
      </c>
      <c r="L99" s="40">
        <f>I99-G99</f>
        <v/>
      </c>
      <c r="M99" s="4">
        <f>IFERROR(L99/G99,0)</f>
        <v/>
      </c>
      <c r="N99" s="21" t="n"/>
      <c r="O99" s="21" t="n"/>
      <c r="P99" s="4">
        <f>IFERROR(O99/N99,0)</f>
        <v/>
      </c>
    </row>
    <row r="100">
      <c r="A100" s="23" t="n"/>
      <c r="B100" s="36" t="n"/>
      <c r="C100" s="1">
        <f>C99+1</f>
        <v/>
      </c>
      <c r="D100" s="21" t="n"/>
      <c r="E100" s="39">
        <f>D100+E99+J99</f>
        <v/>
      </c>
      <c r="F100" s="39">
        <f>IF(I99=0,(F99*$G$3+F99)-D99,I99-D99)</f>
        <v/>
      </c>
      <c r="G100" s="39">
        <f>IF(I99=0,0,I99-D99)</f>
        <v/>
      </c>
      <c r="H100" s="39">
        <f>(E100*$G$3)+E100</f>
        <v/>
      </c>
      <c r="I100" s="41" t="n"/>
      <c r="J100" s="39">
        <f>E100*$G$3</f>
        <v/>
      </c>
      <c r="K100" s="39">
        <f>G100*$G$3</f>
        <v/>
      </c>
      <c r="L100" s="40">
        <f>I100-G100</f>
        <v/>
      </c>
      <c r="M100" s="4">
        <f>IFERROR(L100/G100,0)</f>
        <v/>
      </c>
      <c r="N100" s="21" t="n"/>
      <c r="O100" s="21" t="n"/>
      <c r="P100" s="4">
        <f>IFERROR(O100/N100,0)</f>
        <v/>
      </c>
    </row>
    <row r="101">
      <c r="A101" s="23" t="n"/>
      <c r="B101" s="36" t="n"/>
      <c r="C101" s="1">
        <f>C100+1</f>
        <v/>
      </c>
      <c r="D101" s="21" t="n"/>
      <c r="E101" s="39">
        <f>D101+E100+J100</f>
        <v/>
      </c>
      <c r="F101" s="39">
        <f>IF(I100=0,(F100*$G$3+F100)-D100,I100-D100)</f>
        <v/>
      </c>
      <c r="G101" s="39">
        <f>IF(I100=0,0,I100-D100)</f>
        <v/>
      </c>
      <c r="H101" s="39">
        <f>(E101*$G$3)+E101</f>
        <v/>
      </c>
      <c r="I101" s="41" t="n"/>
      <c r="J101" s="39">
        <f>E101*$G$3</f>
        <v/>
      </c>
      <c r="K101" s="39">
        <f>G101*$G$3</f>
        <v/>
      </c>
      <c r="L101" s="40">
        <f>I101-G101</f>
        <v/>
      </c>
      <c r="M101" s="4">
        <f>IFERROR(L101/G101,0)</f>
        <v/>
      </c>
      <c r="N101" s="21" t="n"/>
      <c r="O101" s="21" t="n"/>
      <c r="P101" s="4">
        <f>IFERROR(O101/N101,0)</f>
        <v/>
      </c>
    </row>
    <row r="102">
      <c r="A102" s="23" t="n"/>
      <c r="B102" s="36" t="n"/>
      <c r="C102" s="1">
        <f>C101+1</f>
        <v/>
      </c>
      <c r="D102" s="21" t="n"/>
      <c r="E102" s="39">
        <f>D102+E101+J101</f>
        <v/>
      </c>
      <c r="F102" s="39">
        <f>IF(I101=0,(F101*$G$3+F101)-D101,I101-D101)</f>
        <v/>
      </c>
      <c r="G102" s="39">
        <f>IF(I101=0,0,I101-D101)</f>
        <v/>
      </c>
      <c r="H102" s="39">
        <f>(E102*$G$3)+E102</f>
        <v/>
      </c>
      <c r="I102" s="41" t="n"/>
      <c r="J102" s="39">
        <f>E102*$G$3</f>
        <v/>
      </c>
      <c r="K102" s="39">
        <f>G102*$G$3</f>
        <v/>
      </c>
      <c r="L102" s="40">
        <f>I102-G102</f>
        <v/>
      </c>
      <c r="M102" s="4">
        <f>IFERROR(L102/G102,0)</f>
        <v/>
      </c>
      <c r="N102" s="21" t="n"/>
      <c r="O102" s="21" t="n"/>
      <c r="P102" s="4">
        <f>IFERROR(O102/N102,0)</f>
        <v/>
      </c>
    </row>
    <row r="103">
      <c r="A103" s="23" t="n"/>
      <c r="B103" s="36" t="n"/>
      <c r="C103" s="1">
        <f>C102+1</f>
        <v/>
      </c>
      <c r="D103" s="21" t="n"/>
      <c r="E103" s="39">
        <f>D103+E102+J102</f>
        <v/>
      </c>
      <c r="F103" s="39">
        <f>IF(I102=0,(F102*$G$3+F102)-D102,I102-D102)</f>
        <v/>
      </c>
      <c r="G103" s="39">
        <f>IF(I102=0,0,I102-D102)</f>
        <v/>
      </c>
      <c r="H103" s="39">
        <f>(E103*$G$3)+E103</f>
        <v/>
      </c>
      <c r="I103" s="41" t="n"/>
      <c r="J103" s="39">
        <f>E103*$G$3</f>
        <v/>
      </c>
      <c r="K103" s="39">
        <f>G103*$G$3</f>
        <v/>
      </c>
      <c r="L103" s="40">
        <f>I103-G103</f>
        <v/>
      </c>
      <c r="M103" s="4">
        <f>IFERROR(L103/G103,0)</f>
        <v/>
      </c>
      <c r="N103" s="21" t="n"/>
      <c r="O103" s="21" t="n"/>
      <c r="P103" s="4">
        <f>IFERROR(O103/N103,0)</f>
        <v/>
      </c>
    </row>
    <row r="104">
      <c r="A104" s="23" t="n"/>
      <c r="B104" s="36" t="n"/>
      <c r="C104" s="1">
        <f>C103+1</f>
        <v/>
      </c>
      <c r="D104" s="21" t="n"/>
      <c r="E104" s="39">
        <f>D104+E103+J103</f>
        <v/>
      </c>
      <c r="F104" s="39">
        <f>IF(I103=0,(F103*$G$3+F103)-D103,I103-D103)</f>
        <v/>
      </c>
      <c r="G104" s="39">
        <f>IF(I103=0,0,I103-D103)</f>
        <v/>
      </c>
      <c r="H104" s="39">
        <f>(E104*$G$3)+E104</f>
        <v/>
      </c>
      <c r="I104" s="41" t="n"/>
      <c r="J104" s="39">
        <f>E104*$G$3</f>
        <v/>
      </c>
      <c r="K104" s="39">
        <f>G104*$G$3</f>
        <v/>
      </c>
      <c r="L104" s="40">
        <f>I104-G104</f>
        <v/>
      </c>
      <c r="M104" s="4">
        <f>IFERROR(L104/G104,0)</f>
        <v/>
      </c>
      <c r="N104" s="21" t="n"/>
      <c r="O104" s="21" t="n"/>
      <c r="P104" s="4">
        <f>IFERROR(O104/N104,0)</f>
        <v/>
      </c>
    </row>
    <row r="105">
      <c r="A105" s="23" t="n"/>
      <c r="B105" s="36" t="n"/>
      <c r="C105" s="1">
        <f>C104+1</f>
        <v/>
      </c>
      <c r="D105" s="21" t="n"/>
      <c r="E105" s="39">
        <f>D105+E104+J104</f>
        <v/>
      </c>
      <c r="F105" s="39">
        <f>IF(I104=0,(F104*$G$3+F104)-D104,I104-D104)</f>
        <v/>
      </c>
      <c r="G105" s="39">
        <f>IF(I104=0,0,I104-D104)</f>
        <v/>
      </c>
      <c r="H105" s="39">
        <f>(E105*$G$3)+E105</f>
        <v/>
      </c>
      <c r="I105" s="41" t="n"/>
      <c r="J105" s="39">
        <f>E105*$G$3</f>
        <v/>
      </c>
      <c r="K105" s="39">
        <f>G105*$G$3</f>
        <v/>
      </c>
      <c r="L105" s="40">
        <f>I105-G105</f>
        <v/>
      </c>
      <c r="M105" s="4">
        <f>IFERROR(L105/G105,0)</f>
        <v/>
      </c>
      <c r="N105" s="21" t="n"/>
      <c r="O105" s="21" t="n"/>
      <c r="P105" s="4">
        <f>IFERROR(O105/N105,0)</f>
        <v/>
      </c>
    </row>
    <row r="106">
      <c r="A106" s="23" t="n"/>
      <c r="B106" s="36" t="n"/>
      <c r="C106" s="1">
        <f>C105+1</f>
        <v/>
      </c>
      <c r="D106" s="21" t="n"/>
      <c r="E106" s="39">
        <f>D106+E105+J105</f>
        <v/>
      </c>
      <c r="F106" s="39">
        <f>IF(I105=0,(F105*$G$3+F105)-D105,I105-D105)</f>
        <v/>
      </c>
      <c r="G106" s="39">
        <f>IF(I105=0,0,I105-D105)</f>
        <v/>
      </c>
      <c r="H106" s="39">
        <f>(E106*$G$3)+E106</f>
        <v/>
      </c>
      <c r="I106" s="41" t="n"/>
      <c r="J106" s="39">
        <f>E106*$G$3</f>
        <v/>
      </c>
      <c r="K106" s="39">
        <f>G106*$G$3</f>
        <v/>
      </c>
      <c r="L106" s="40">
        <f>I106-G106</f>
        <v/>
      </c>
      <c r="M106" s="4">
        <f>IFERROR(L106/G106,0)</f>
        <v/>
      </c>
      <c r="N106" s="21" t="n"/>
      <c r="O106" s="21" t="n"/>
      <c r="P106" s="4">
        <f>IFERROR(O106/N106,0)</f>
        <v/>
      </c>
    </row>
    <row r="107">
      <c r="A107" s="23" t="n"/>
      <c r="B107" s="36" t="n"/>
      <c r="C107" s="1">
        <f>C106+1</f>
        <v/>
      </c>
      <c r="D107" s="21" t="n"/>
      <c r="E107" s="39">
        <f>D107+E106+J106</f>
        <v/>
      </c>
      <c r="F107" s="39">
        <f>IF(I106=0,(F106*$G$3+F106)-D106,I106-D106)</f>
        <v/>
      </c>
      <c r="G107" s="39">
        <f>IF(I106=0,0,I106-D106)</f>
        <v/>
      </c>
      <c r="H107" s="39">
        <f>(E107*$G$3)+E107</f>
        <v/>
      </c>
      <c r="I107" s="41" t="n"/>
      <c r="J107" s="39">
        <f>E107*$G$3</f>
        <v/>
      </c>
      <c r="K107" s="39">
        <f>G107*$G$3</f>
        <v/>
      </c>
      <c r="L107" s="40">
        <f>I107-G107</f>
        <v/>
      </c>
      <c r="M107" s="4">
        <f>IFERROR(L107/G107,0)</f>
        <v/>
      </c>
      <c r="N107" s="21" t="n"/>
      <c r="O107" s="21" t="n"/>
      <c r="P107" s="4">
        <f>IFERROR(O107/N107,0)</f>
        <v/>
      </c>
    </row>
    <row r="108">
      <c r="A108" s="23" t="n"/>
      <c r="B108" s="36" t="n"/>
      <c r="C108" s="1">
        <f>C107+1</f>
        <v/>
      </c>
      <c r="D108" s="21" t="n"/>
      <c r="E108" s="39">
        <f>D108+E107+J107</f>
        <v/>
      </c>
      <c r="F108" s="39">
        <f>IF(I107=0,(F107*$G$3+F107)-D107,I107-D107)</f>
        <v/>
      </c>
      <c r="G108" s="39">
        <f>IF(I107=0,0,I107-D107)</f>
        <v/>
      </c>
      <c r="H108" s="39">
        <f>(E108*$G$3)+E108</f>
        <v/>
      </c>
      <c r="I108" s="41" t="n"/>
      <c r="J108" s="39">
        <f>E108*$G$3</f>
        <v/>
      </c>
      <c r="K108" s="39">
        <f>G108*$G$3</f>
        <v/>
      </c>
      <c r="L108" s="40">
        <f>I108-G108</f>
        <v/>
      </c>
      <c r="M108" s="4">
        <f>IFERROR(L108/G108,0)</f>
        <v/>
      </c>
      <c r="N108" s="21" t="n"/>
      <c r="O108" s="21" t="n"/>
      <c r="P108" s="4">
        <f>IFERROR(O108/N108,0)</f>
        <v/>
      </c>
    </row>
    <row r="109">
      <c r="A109" s="23" t="n"/>
      <c r="B109" s="36" t="n"/>
      <c r="C109" s="1">
        <f>C108+1</f>
        <v/>
      </c>
      <c r="D109" s="21" t="n"/>
      <c r="E109" s="39">
        <f>D109+E108+J108</f>
        <v/>
      </c>
      <c r="F109" s="39">
        <f>IF(I108=0,(F108*$G$3+F108)-D108,I108-D108)</f>
        <v/>
      </c>
      <c r="G109" s="39">
        <f>IF(I108=0,0,I108-D108)</f>
        <v/>
      </c>
      <c r="H109" s="39">
        <f>(E109*$G$3)+E109</f>
        <v/>
      </c>
      <c r="I109" s="41" t="n"/>
      <c r="J109" s="39">
        <f>E109*$G$3</f>
        <v/>
      </c>
      <c r="K109" s="39">
        <f>G109*$G$3</f>
        <v/>
      </c>
      <c r="L109" s="40">
        <f>I109-G109</f>
        <v/>
      </c>
      <c r="M109" s="4">
        <f>IFERROR(L109/G109,0)</f>
        <v/>
      </c>
      <c r="N109" s="21" t="n"/>
      <c r="O109" s="21" t="n"/>
      <c r="P109" s="4">
        <f>IFERROR(O109/N109,0)</f>
        <v/>
      </c>
    </row>
    <row r="110">
      <c r="A110" s="23" t="n"/>
      <c r="B110" s="36" t="n"/>
      <c r="C110" s="1">
        <f>C109+1</f>
        <v/>
      </c>
      <c r="D110" s="21" t="n"/>
      <c r="E110" s="39">
        <f>D110+E109+J109</f>
        <v/>
      </c>
      <c r="F110" s="39">
        <f>IF(I109=0,(F109*$G$3+F109)-D109,I109-D109)</f>
        <v/>
      </c>
      <c r="G110" s="39">
        <f>IF(I109=0,0,I109-D109)</f>
        <v/>
      </c>
      <c r="H110" s="39">
        <f>(E110*$G$3)+E110</f>
        <v/>
      </c>
      <c r="I110" s="41" t="n"/>
      <c r="J110" s="39">
        <f>E110*$G$3</f>
        <v/>
      </c>
      <c r="K110" s="39">
        <f>G110*$G$3</f>
        <v/>
      </c>
      <c r="L110" s="40">
        <f>I110-G110</f>
        <v/>
      </c>
      <c r="M110" s="4">
        <f>IFERROR(L110/G110,0)</f>
        <v/>
      </c>
      <c r="N110" s="21" t="n"/>
      <c r="O110" s="21" t="n"/>
      <c r="P110" s="4">
        <f>IFERROR(O110/N110,0)</f>
        <v/>
      </c>
    </row>
    <row r="111">
      <c r="A111" s="23" t="n"/>
      <c r="B111" s="36" t="n"/>
      <c r="C111" s="1">
        <f>C110+1</f>
        <v/>
      </c>
      <c r="D111" s="21" t="n"/>
      <c r="E111" s="39">
        <f>D111+E110+J110</f>
        <v/>
      </c>
      <c r="F111" s="39">
        <f>IF(I110=0,(F110*$G$3+F110)-D110,I110-D110)</f>
        <v/>
      </c>
      <c r="G111" s="39">
        <f>IF(I110=0,0,I110-D110)</f>
        <v/>
      </c>
      <c r="H111" s="39">
        <f>(E111*$G$3)+E111</f>
        <v/>
      </c>
      <c r="I111" s="41" t="n"/>
      <c r="J111" s="39">
        <f>E111*$G$3</f>
        <v/>
      </c>
      <c r="K111" s="39">
        <f>G111*$G$3</f>
        <v/>
      </c>
      <c r="L111" s="40">
        <f>I111-G111</f>
        <v/>
      </c>
      <c r="M111" s="4">
        <f>IFERROR(L111/G111,0)</f>
        <v/>
      </c>
      <c r="N111" s="21" t="n"/>
      <c r="O111" s="21" t="n"/>
      <c r="P111" s="4">
        <f>IFERROR(O111/N111,0)</f>
        <v/>
      </c>
    </row>
    <row r="112">
      <c r="A112" s="23" t="n"/>
      <c r="B112" s="36" t="n"/>
      <c r="C112" s="1">
        <f>C111+1</f>
        <v/>
      </c>
      <c r="D112" s="21" t="n"/>
      <c r="E112" s="39">
        <f>D112+E111+J111</f>
        <v/>
      </c>
      <c r="F112" s="39">
        <f>IF(I111=0,(F111*$G$3+F111)-D111,I111-D111)</f>
        <v/>
      </c>
      <c r="G112" s="39">
        <f>IF(I111=0,0,I111-D111)</f>
        <v/>
      </c>
      <c r="H112" s="39">
        <f>(E112*$G$3)+E112</f>
        <v/>
      </c>
      <c r="I112" s="41" t="n"/>
      <c r="J112" s="39">
        <f>E112*$G$3</f>
        <v/>
      </c>
      <c r="K112" s="39">
        <f>G112*$G$3</f>
        <v/>
      </c>
      <c r="L112" s="40">
        <f>I112-G112</f>
        <v/>
      </c>
      <c r="M112" s="4">
        <f>IFERROR(L112/G112,0)</f>
        <v/>
      </c>
      <c r="N112" s="21" t="n"/>
      <c r="O112" s="21" t="n"/>
      <c r="P112" s="4">
        <f>IFERROR(O112/N112,0)</f>
        <v/>
      </c>
    </row>
    <row r="113">
      <c r="A113" s="23" t="n"/>
      <c r="B113" s="36" t="n"/>
      <c r="C113" s="1">
        <f>C112+1</f>
        <v/>
      </c>
      <c r="D113" s="21" t="n"/>
      <c r="E113" s="39">
        <f>D113+E112+J112</f>
        <v/>
      </c>
      <c r="F113" s="39">
        <f>IF(I112=0,(F112*$G$3+F112)-D112,I112-D112)</f>
        <v/>
      </c>
      <c r="G113" s="39">
        <f>IF(I112=0,0,I112-D112)</f>
        <v/>
      </c>
      <c r="H113" s="39">
        <f>(E113*$G$3)+E113</f>
        <v/>
      </c>
      <c r="I113" s="41" t="n"/>
      <c r="J113" s="39">
        <f>E113*$G$3</f>
        <v/>
      </c>
      <c r="K113" s="39">
        <f>G113*$G$3</f>
        <v/>
      </c>
      <c r="L113" s="40">
        <f>I113-G113</f>
        <v/>
      </c>
      <c r="M113" s="4">
        <f>IFERROR(L113/G113,0)</f>
        <v/>
      </c>
      <c r="N113" s="21" t="n"/>
      <c r="O113" s="21" t="n"/>
      <c r="P113" s="4">
        <f>IFERROR(O113/N113,0)</f>
        <v/>
      </c>
    </row>
    <row r="114">
      <c r="A114" s="23" t="n"/>
      <c r="B114" s="36" t="n"/>
      <c r="C114" s="1">
        <f>C113+1</f>
        <v/>
      </c>
      <c r="D114" s="21" t="n"/>
      <c r="E114" s="39">
        <f>D114+E113+J113</f>
        <v/>
      </c>
      <c r="F114" s="39">
        <f>IF(I113=0,(F113*$G$3+F113)-D113,I113-D113)</f>
        <v/>
      </c>
      <c r="G114" s="39">
        <f>IF(I113=0,0,I113-D113)</f>
        <v/>
      </c>
      <c r="H114" s="39">
        <f>(E114*$G$3)+E114</f>
        <v/>
      </c>
      <c r="I114" s="41" t="n"/>
      <c r="J114" s="39">
        <f>E114*$G$3</f>
        <v/>
      </c>
      <c r="K114" s="39">
        <f>G114*$G$3</f>
        <v/>
      </c>
      <c r="L114" s="40">
        <f>I114-G114</f>
        <v/>
      </c>
      <c r="M114" s="4">
        <f>IFERROR(L114/G114,0)</f>
        <v/>
      </c>
      <c r="N114" s="21" t="n"/>
      <c r="O114" s="21" t="n"/>
      <c r="P114" s="4">
        <f>IFERROR(O114/N114,0)</f>
        <v/>
      </c>
    </row>
    <row r="115">
      <c r="A115" s="23" t="n"/>
      <c r="B115" s="36" t="n"/>
      <c r="C115" s="1">
        <f>C114+1</f>
        <v/>
      </c>
      <c r="D115" s="21" t="n"/>
      <c r="E115" s="39">
        <f>D115+E114+J114</f>
        <v/>
      </c>
      <c r="F115" s="39">
        <f>IF(I114=0,(F114*$G$3+F114)-D114,I114-D114)</f>
        <v/>
      </c>
      <c r="G115" s="39">
        <f>IF(I114=0,0,I114-D114)</f>
        <v/>
      </c>
      <c r="H115" s="39">
        <f>(E115*$G$3)+E115</f>
        <v/>
      </c>
      <c r="I115" s="41" t="n"/>
      <c r="J115" s="39">
        <f>E115*$G$3</f>
        <v/>
      </c>
      <c r="K115" s="39">
        <f>G115*$G$3</f>
        <v/>
      </c>
      <c r="L115" s="40">
        <f>I115-G115</f>
        <v/>
      </c>
      <c r="M115" s="4">
        <f>IFERROR(L115/G115,0)</f>
        <v/>
      </c>
      <c r="N115" s="21" t="n"/>
      <c r="O115" s="21" t="n"/>
      <c r="P115" s="4">
        <f>IFERROR(O115/N115,0)</f>
        <v/>
      </c>
    </row>
    <row r="116">
      <c r="A116" s="23" t="n"/>
      <c r="B116" s="36" t="n"/>
      <c r="C116" s="1">
        <f>C115+1</f>
        <v/>
      </c>
      <c r="D116" s="21" t="n"/>
      <c r="E116" s="39">
        <f>D116+E115+J115</f>
        <v/>
      </c>
      <c r="F116" s="39">
        <f>IF(I115=0,(F115*$G$3+F115)-D115,I115-D115)</f>
        <v/>
      </c>
      <c r="G116" s="39">
        <f>IF(I115=0,0,I115-D115)</f>
        <v/>
      </c>
      <c r="H116" s="39">
        <f>(E116*$G$3)+E116</f>
        <v/>
      </c>
      <c r="I116" s="41" t="n"/>
      <c r="J116" s="39">
        <f>E116*$G$3</f>
        <v/>
      </c>
      <c r="K116" s="39">
        <f>G116*$G$3</f>
        <v/>
      </c>
      <c r="L116" s="40">
        <f>I116-G116</f>
        <v/>
      </c>
      <c r="M116" s="4">
        <f>IFERROR(L116/G116,0)</f>
        <v/>
      </c>
      <c r="N116" s="21" t="n"/>
      <c r="O116" s="21" t="n"/>
      <c r="P116" s="4">
        <f>IFERROR(O116/N116,0)</f>
        <v/>
      </c>
    </row>
    <row r="117">
      <c r="A117" s="23" t="n"/>
      <c r="B117" s="36" t="n"/>
      <c r="C117" s="1">
        <f>C116+1</f>
        <v/>
      </c>
      <c r="D117" s="21" t="n"/>
      <c r="E117" s="39">
        <f>D117+E116+J116</f>
        <v/>
      </c>
      <c r="F117" s="39">
        <f>IF(I116=0,(F116*$G$3+F116)-D116,I116-D116)</f>
        <v/>
      </c>
      <c r="G117" s="39">
        <f>IF(I116=0,0,I116-D116)</f>
        <v/>
      </c>
      <c r="H117" s="39">
        <f>(E117*$G$3)+E117</f>
        <v/>
      </c>
      <c r="I117" s="41" t="n"/>
      <c r="J117" s="39">
        <f>E117*$G$3</f>
        <v/>
      </c>
      <c r="K117" s="39">
        <f>G117*$G$3</f>
        <v/>
      </c>
      <c r="L117" s="40">
        <f>I117-G117</f>
        <v/>
      </c>
      <c r="M117" s="4">
        <f>IFERROR(L117/G117,0)</f>
        <v/>
      </c>
      <c r="N117" s="21" t="n"/>
      <c r="O117" s="21" t="n"/>
      <c r="P117" s="4">
        <f>IFERROR(O117/N117,0)</f>
        <v/>
      </c>
    </row>
    <row r="118">
      <c r="A118" s="23" t="n"/>
      <c r="B118" s="36" t="n"/>
      <c r="C118" s="1">
        <f>C117+1</f>
        <v/>
      </c>
      <c r="D118" s="21" t="n"/>
      <c r="E118" s="39">
        <f>D118+E117+J117</f>
        <v/>
      </c>
      <c r="F118" s="39">
        <f>IF(I117=0,(F117*$G$3+F117)-D117,I117-D117)</f>
        <v/>
      </c>
      <c r="G118" s="39">
        <f>IF(I117=0,0,I117-D117)</f>
        <v/>
      </c>
      <c r="H118" s="39">
        <f>(E118*$G$3)+E118</f>
        <v/>
      </c>
      <c r="I118" s="41" t="n"/>
      <c r="J118" s="39">
        <f>E118*$G$3</f>
        <v/>
      </c>
      <c r="K118" s="39">
        <f>G118*$G$3</f>
        <v/>
      </c>
      <c r="L118" s="40">
        <f>I118-G118</f>
        <v/>
      </c>
      <c r="M118" s="4">
        <f>IFERROR(L118/G118,0)</f>
        <v/>
      </c>
      <c r="N118" s="21" t="n"/>
      <c r="O118" s="21" t="n"/>
      <c r="P118" s="4">
        <f>IFERROR(O118/N118,0)</f>
        <v/>
      </c>
    </row>
    <row r="119">
      <c r="A119" s="23" t="n"/>
      <c r="B119" s="36" t="n"/>
      <c r="C119" s="1">
        <f>C118+1</f>
        <v/>
      </c>
      <c r="D119" s="21" t="n"/>
      <c r="E119" s="39">
        <f>D119+E118+J118</f>
        <v/>
      </c>
      <c r="F119" s="39">
        <f>IF(I118=0,(F118*$G$3+F118)-D118,I118-D118)</f>
        <v/>
      </c>
      <c r="G119" s="39">
        <f>IF(I118=0,0,I118-D118)</f>
        <v/>
      </c>
      <c r="H119" s="39">
        <f>(E119*$G$3)+E119</f>
        <v/>
      </c>
      <c r="I119" s="41" t="n"/>
      <c r="J119" s="39">
        <f>E119*$G$3</f>
        <v/>
      </c>
      <c r="K119" s="39">
        <f>G119*$G$3</f>
        <v/>
      </c>
      <c r="L119" s="40">
        <f>I119-G119</f>
        <v/>
      </c>
      <c r="M119" s="4">
        <f>IFERROR(L119/G119,0)</f>
        <v/>
      </c>
      <c r="N119" s="21" t="n"/>
      <c r="O119" s="21" t="n"/>
      <c r="P119" s="4">
        <f>IFERROR(O119/N119,0)</f>
        <v/>
      </c>
    </row>
    <row r="120">
      <c r="A120" s="23" t="n"/>
      <c r="B120" s="36" t="n"/>
      <c r="C120" s="1">
        <f>C119+1</f>
        <v/>
      </c>
      <c r="D120" s="21" t="n"/>
      <c r="E120" s="39">
        <f>D120+E119+J119</f>
        <v/>
      </c>
      <c r="F120" s="39">
        <f>IF(I119=0,(F119*$G$3+F119)-D119,I119-D119)</f>
        <v/>
      </c>
      <c r="G120" s="39">
        <f>IF(I119=0,0,I119-D119)</f>
        <v/>
      </c>
      <c r="H120" s="39">
        <f>(E120*$G$3)+E120</f>
        <v/>
      </c>
      <c r="I120" s="41" t="n"/>
      <c r="J120" s="39">
        <f>E120*$G$3</f>
        <v/>
      </c>
      <c r="K120" s="39">
        <f>G120*$G$3</f>
        <v/>
      </c>
      <c r="L120" s="40">
        <f>I120-G120</f>
        <v/>
      </c>
      <c r="M120" s="4">
        <f>IFERROR(L120/G120,0)</f>
        <v/>
      </c>
      <c r="N120" s="21" t="n"/>
      <c r="O120" s="21" t="n"/>
      <c r="P120" s="4">
        <f>IFERROR(O120/N120,0)</f>
        <v/>
      </c>
    </row>
    <row r="121">
      <c r="A121" s="23" t="n"/>
      <c r="B121" s="36" t="n"/>
      <c r="C121" s="1">
        <f>C120+1</f>
        <v/>
      </c>
      <c r="D121" s="21" t="n"/>
      <c r="E121" s="39">
        <f>D121+E120+J120</f>
        <v/>
      </c>
      <c r="F121" s="39">
        <f>IF(I120=0,(F120*$G$3+F120)-D120,I120-D120)</f>
        <v/>
      </c>
      <c r="G121" s="39">
        <f>IF(I120=0,0,I120-D120)</f>
        <v/>
      </c>
      <c r="H121" s="39">
        <f>(E121*$G$3)+E121</f>
        <v/>
      </c>
      <c r="I121" s="41" t="n"/>
      <c r="J121" s="39">
        <f>E121*$G$3</f>
        <v/>
      </c>
      <c r="K121" s="39">
        <f>G121*$G$3</f>
        <v/>
      </c>
      <c r="L121" s="40">
        <f>I121-G121</f>
        <v/>
      </c>
      <c r="M121" s="4">
        <f>IFERROR(L121/G121,0)</f>
        <v/>
      </c>
      <c r="N121" s="21" t="n"/>
      <c r="O121" s="21" t="n"/>
      <c r="P121" s="4">
        <f>IFERROR(O121/N121,0)</f>
        <v/>
      </c>
    </row>
    <row r="122">
      <c r="A122" s="23" t="n"/>
      <c r="B122" s="36" t="n"/>
      <c r="C122" s="1">
        <f>C121+1</f>
        <v/>
      </c>
      <c r="D122" s="21" t="n"/>
      <c r="E122" s="39">
        <f>D122+E121+J121</f>
        <v/>
      </c>
      <c r="F122" s="39">
        <f>IF(I121=0,(F121*$G$3+F121)-D121,I121-D121)</f>
        <v/>
      </c>
      <c r="G122" s="39">
        <f>IF(I121=0,0,I121-D121)</f>
        <v/>
      </c>
      <c r="H122" s="39">
        <f>(E122*$G$3)+E122</f>
        <v/>
      </c>
      <c r="I122" s="41" t="n"/>
      <c r="J122" s="39">
        <f>E122*$G$3</f>
        <v/>
      </c>
      <c r="K122" s="39">
        <f>G122*$G$3</f>
        <v/>
      </c>
      <c r="L122" s="40">
        <f>I122-G122</f>
        <v/>
      </c>
      <c r="M122" s="4">
        <f>IFERROR(L122/G122,0)</f>
        <v/>
      </c>
      <c r="N122" s="21" t="n"/>
      <c r="O122" s="21" t="n"/>
      <c r="P122" s="4">
        <f>IFERROR(O122/N122,0)</f>
        <v/>
      </c>
    </row>
    <row r="123">
      <c r="A123" s="23" t="n"/>
      <c r="B123" s="36" t="n"/>
      <c r="C123" s="1">
        <f>C122+1</f>
        <v/>
      </c>
      <c r="D123" s="21" t="n"/>
      <c r="E123" s="39">
        <f>D123+E122+J122</f>
        <v/>
      </c>
      <c r="F123" s="39">
        <f>IF(I122=0,(F122*$G$3+F122)-D122,I122-D122)</f>
        <v/>
      </c>
      <c r="G123" s="39">
        <f>IF(I122=0,0,I122-D122)</f>
        <v/>
      </c>
      <c r="H123" s="39">
        <f>(E123*$G$3)+E123</f>
        <v/>
      </c>
      <c r="I123" s="41" t="n"/>
      <c r="J123" s="39">
        <f>E123*$G$3</f>
        <v/>
      </c>
      <c r="K123" s="39">
        <f>G123*$G$3</f>
        <v/>
      </c>
      <c r="L123" s="40">
        <f>I123-G123</f>
        <v/>
      </c>
      <c r="M123" s="4">
        <f>IFERROR(L123/G123,0)</f>
        <v/>
      </c>
      <c r="N123" s="21" t="n"/>
      <c r="O123" s="21" t="n"/>
      <c r="P123" s="4">
        <f>IFERROR(O123/N123,0)</f>
        <v/>
      </c>
    </row>
    <row r="124">
      <c r="A124" s="23" t="n"/>
      <c r="B124" s="36" t="n"/>
      <c r="C124" s="1">
        <f>C123+1</f>
        <v/>
      </c>
      <c r="D124" s="21" t="n"/>
      <c r="E124" s="39">
        <f>D124+E123+J123</f>
        <v/>
      </c>
      <c r="F124" s="39">
        <f>IF(I123=0,(F123*$G$3+F123)-D123,I123-D123)</f>
        <v/>
      </c>
      <c r="G124" s="39">
        <f>IF(I123=0,0,I123-D123)</f>
        <v/>
      </c>
      <c r="H124" s="39">
        <f>(E124*$G$3)+E124</f>
        <v/>
      </c>
      <c r="I124" s="41" t="n"/>
      <c r="J124" s="39">
        <f>E124*$G$3</f>
        <v/>
      </c>
      <c r="K124" s="39">
        <f>G124*$G$3</f>
        <v/>
      </c>
      <c r="L124" s="40">
        <f>I124-G124</f>
        <v/>
      </c>
      <c r="M124" s="4">
        <f>IFERROR(L124/G124,0)</f>
        <v/>
      </c>
      <c r="N124" s="21" t="n"/>
      <c r="O124" s="21" t="n"/>
      <c r="P124" s="4">
        <f>IFERROR(O124/N124,0)</f>
        <v/>
      </c>
    </row>
    <row r="125">
      <c r="A125" s="23" t="n"/>
      <c r="B125" s="36" t="n"/>
      <c r="C125" s="1">
        <f>C124+1</f>
        <v/>
      </c>
      <c r="D125" s="21" t="n"/>
      <c r="E125" s="39">
        <f>D125+E124+J124</f>
        <v/>
      </c>
      <c r="F125" s="39">
        <f>IF(I124=0,(F124*$G$3+F124)-D124,I124-D124)</f>
        <v/>
      </c>
      <c r="G125" s="39">
        <f>IF(I124=0,0,I124-D124)</f>
        <v/>
      </c>
      <c r="H125" s="39">
        <f>(E125*$G$3)+E125</f>
        <v/>
      </c>
      <c r="I125" s="41" t="n"/>
      <c r="J125" s="39">
        <f>E125*$G$3</f>
        <v/>
      </c>
      <c r="K125" s="39">
        <f>G125*$G$3</f>
        <v/>
      </c>
      <c r="L125" s="40">
        <f>I125-G125</f>
        <v/>
      </c>
      <c r="M125" s="4">
        <f>IFERROR(L125/G125,0)</f>
        <v/>
      </c>
      <c r="N125" s="21" t="n"/>
      <c r="O125" s="21" t="n"/>
      <c r="P125" s="4">
        <f>IFERROR(O125/N125,0)</f>
        <v/>
      </c>
    </row>
    <row r="126">
      <c r="A126" s="23" t="n"/>
      <c r="B126" s="36" t="n"/>
      <c r="C126" s="1">
        <f>C125+1</f>
        <v/>
      </c>
      <c r="D126" s="21" t="n"/>
      <c r="E126" s="39">
        <f>D126+E125+J125</f>
        <v/>
      </c>
      <c r="F126" s="39">
        <f>IF(I125=0,(F125*$G$3+F125)-D125,I125-D125)</f>
        <v/>
      </c>
      <c r="G126" s="39">
        <f>IF(I125=0,0,I125-D125)</f>
        <v/>
      </c>
      <c r="H126" s="39">
        <f>(E126*$G$3)+E126</f>
        <v/>
      </c>
      <c r="I126" s="41" t="n"/>
      <c r="J126" s="39">
        <f>E126*$G$3</f>
        <v/>
      </c>
      <c r="K126" s="39">
        <f>G126*$G$3</f>
        <v/>
      </c>
      <c r="L126" s="40">
        <f>I126-G126</f>
        <v/>
      </c>
      <c r="M126" s="4">
        <f>IFERROR(L126/G126,0)</f>
        <v/>
      </c>
      <c r="N126" s="21" t="n"/>
      <c r="O126" s="21" t="n"/>
      <c r="P126" s="4">
        <f>IFERROR(O126/N126,0)</f>
        <v/>
      </c>
    </row>
    <row r="127">
      <c r="A127" s="23" t="n"/>
      <c r="B127" s="36" t="n"/>
      <c r="C127" s="1">
        <f>C126+1</f>
        <v/>
      </c>
      <c r="D127" s="21" t="n"/>
      <c r="E127" s="39">
        <f>D127+E126+J126</f>
        <v/>
      </c>
      <c r="F127" s="39">
        <f>IF(I126=0,(F126*$G$3+F126)-D126,I126-D126)</f>
        <v/>
      </c>
      <c r="G127" s="39">
        <f>IF(I126=0,0,I126-D126)</f>
        <v/>
      </c>
      <c r="H127" s="39">
        <f>(E127*$G$3)+E127</f>
        <v/>
      </c>
      <c r="I127" s="41" t="n"/>
      <c r="J127" s="39">
        <f>E127*$G$3</f>
        <v/>
      </c>
      <c r="K127" s="39">
        <f>G127*$G$3</f>
        <v/>
      </c>
      <c r="L127" s="40">
        <f>I127-G127</f>
        <v/>
      </c>
      <c r="M127" s="4">
        <f>IFERROR(L127/G127,0)</f>
        <v/>
      </c>
      <c r="N127" s="21" t="n"/>
      <c r="O127" s="21" t="n"/>
      <c r="P127" s="4">
        <f>IFERROR(O127/N127,0)</f>
        <v/>
      </c>
    </row>
    <row r="128">
      <c r="A128" s="23" t="n"/>
      <c r="B128" s="36" t="n"/>
      <c r="C128" s="1">
        <f>C127+1</f>
        <v/>
      </c>
      <c r="D128" s="21" t="n"/>
      <c r="E128" s="39">
        <f>D128+E127+J127</f>
        <v/>
      </c>
      <c r="F128" s="39">
        <f>IF(I127=0,(F127*$G$3+F127)-D127,I127-D127)</f>
        <v/>
      </c>
      <c r="G128" s="39">
        <f>IF(I127=0,0,I127-D127)</f>
        <v/>
      </c>
      <c r="H128" s="39">
        <f>(E128*$G$3)+E128</f>
        <v/>
      </c>
      <c r="I128" s="41" t="n"/>
      <c r="J128" s="39">
        <f>E128*$G$3</f>
        <v/>
      </c>
      <c r="K128" s="39">
        <f>G128*$G$3</f>
        <v/>
      </c>
      <c r="L128" s="40">
        <f>I128-G128</f>
        <v/>
      </c>
      <c r="M128" s="4">
        <f>IFERROR(L128/G128,0)</f>
        <v/>
      </c>
      <c r="N128" s="21" t="n"/>
      <c r="O128" s="21" t="n"/>
      <c r="P128" s="4">
        <f>IFERROR(O128/N128,0)</f>
        <v/>
      </c>
    </row>
    <row r="129">
      <c r="A129" s="23" t="n"/>
      <c r="B129" s="36" t="n"/>
      <c r="C129" s="1">
        <f>C128+1</f>
        <v/>
      </c>
      <c r="D129" s="21" t="n"/>
      <c r="E129" s="39">
        <f>D129+E128+J128</f>
        <v/>
      </c>
      <c r="F129" s="39">
        <f>IF(I128=0,(F128*$G$3+F128)-D128,I128-D128)</f>
        <v/>
      </c>
      <c r="G129" s="39">
        <f>IF(I128=0,0,I128-D128)</f>
        <v/>
      </c>
      <c r="H129" s="39">
        <f>(E129*$G$3)+E129</f>
        <v/>
      </c>
      <c r="I129" s="41" t="n"/>
      <c r="J129" s="39">
        <f>E129*$G$3</f>
        <v/>
      </c>
      <c r="K129" s="39">
        <f>G129*$G$3</f>
        <v/>
      </c>
      <c r="L129" s="40">
        <f>I129-G129</f>
        <v/>
      </c>
      <c r="M129" s="4">
        <f>IFERROR(L129/G129,0)</f>
        <v/>
      </c>
      <c r="N129" s="21" t="n"/>
      <c r="O129" s="21" t="n"/>
      <c r="P129" s="4">
        <f>IFERROR(O129/N129,0)</f>
        <v/>
      </c>
    </row>
    <row r="130">
      <c r="A130" s="23" t="n"/>
      <c r="B130" s="36" t="n"/>
      <c r="C130" s="1">
        <f>C129+1</f>
        <v/>
      </c>
      <c r="D130" s="21" t="n"/>
      <c r="E130" s="39">
        <f>D130+E129+J129</f>
        <v/>
      </c>
      <c r="F130" s="39">
        <f>IF(I129=0,(F129*$G$3+F129)-D129,I129-D129)</f>
        <v/>
      </c>
      <c r="G130" s="39">
        <f>IF(I129=0,0,I129-D129)</f>
        <v/>
      </c>
      <c r="H130" s="39">
        <f>(E130*$G$3)+E130</f>
        <v/>
      </c>
      <c r="I130" s="41" t="n"/>
      <c r="J130" s="39">
        <f>E130*$G$3</f>
        <v/>
      </c>
      <c r="K130" s="39">
        <f>G130*$G$3</f>
        <v/>
      </c>
      <c r="L130" s="40">
        <f>I130-G130</f>
        <v/>
      </c>
      <c r="M130" s="4">
        <f>IFERROR(L130/G130,0)</f>
        <v/>
      </c>
      <c r="N130" s="21" t="n"/>
      <c r="O130" s="21" t="n"/>
      <c r="P130" s="4">
        <f>IFERROR(O130/N130,0)</f>
        <v/>
      </c>
    </row>
    <row r="131">
      <c r="A131" s="23" t="n"/>
      <c r="B131" s="36" t="n"/>
      <c r="C131" s="1">
        <f>C130+1</f>
        <v/>
      </c>
      <c r="D131" s="21" t="n"/>
      <c r="E131" s="39">
        <f>D131+E130+J130</f>
        <v/>
      </c>
      <c r="F131" s="39">
        <f>IF(I130=0,(F130*$G$3+F130)-D130,I130-D130)</f>
        <v/>
      </c>
      <c r="G131" s="39">
        <f>IF(I130=0,0,I130-D130)</f>
        <v/>
      </c>
      <c r="H131" s="39">
        <f>(E131*$G$3)+E131</f>
        <v/>
      </c>
      <c r="I131" s="41" t="n"/>
      <c r="J131" s="39">
        <f>E131*$G$3</f>
        <v/>
      </c>
      <c r="K131" s="39">
        <f>G131*$G$3</f>
        <v/>
      </c>
      <c r="L131" s="40">
        <f>I131-G131</f>
        <v/>
      </c>
      <c r="M131" s="4">
        <f>IFERROR(L131/G131,0)</f>
        <v/>
      </c>
      <c r="N131" s="21" t="n"/>
      <c r="O131" s="21" t="n"/>
      <c r="P131" s="4">
        <f>IFERROR(O131/N131,0)</f>
        <v/>
      </c>
    </row>
    <row r="132">
      <c r="A132" s="23" t="n"/>
      <c r="B132" s="36" t="n"/>
      <c r="C132" s="1">
        <f>C131+1</f>
        <v/>
      </c>
      <c r="D132" s="21" t="n"/>
      <c r="E132" s="39">
        <f>D132+E131+J131</f>
        <v/>
      </c>
      <c r="F132" s="39">
        <f>IF(I131=0,(F131*$G$3+F131)-D131,I131-D131)</f>
        <v/>
      </c>
      <c r="G132" s="39">
        <f>IF(I131=0,0,I131-D131)</f>
        <v/>
      </c>
      <c r="H132" s="39">
        <f>(E132*$G$3)+E132</f>
        <v/>
      </c>
      <c r="I132" s="41" t="n"/>
      <c r="J132" s="39">
        <f>E132*$G$3</f>
        <v/>
      </c>
      <c r="K132" s="39">
        <f>G132*$G$3</f>
        <v/>
      </c>
      <c r="L132" s="40">
        <f>I132-G132</f>
        <v/>
      </c>
      <c r="M132" s="4">
        <f>IFERROR(L132/G132,0)</f>
        <v/>
      </c>
      <c r="N132" s="21" t="n"/>
      <c r="O132" s="21" t="n"/>
      <c r="P132" s="4">
        <f>IFERROR(O132/N132,0)</f>
        <v/>
      </c>
    </row>
    <row r="133">
      <c r="A133" s="23" t="n"/>
      <c r="B133" s="36" t="n"/>
      <c r="C133" s="1">
        <f>C132+1</f>
        <v/>
      </c>
      <c r="D133" s="21" t="n"/>
      <c r="E133" s="39">
        <f>D133+E132+J132</f>
        <v/>
      </c>
      <c r="F133" s="39">
        <f>IF(I132=0,(F132*$G$3+F132)-D132,I132-D132)</f>
        <v/>
      </c>
      <c r="G133" s="39">
        <f>IF(I132=0,0,I132-D132)</f>
        <v/>
      </c>
      <c r="H133" s="39">
        <f>(E133*$G$3)+E133</f>
        <v/>
      </c>
      <c r="I133" s="41" t="n"/>
      <c r="J133" s="39">
        <f>E133*$G$3</f>
        <v/>
      </c>
      <c r="K133" s="39">
        <f>G133*$G$3</f>
        <v/>
      </c>
      <c r="L133" s="40">
        <f>I133-G133</f>
        <v/>
      </c>
      <c r="M133" s="4">
        <f>IFERROR(L133/G133,0)</f>
        <v/>
      </c>
      <c r="N133" s="21" t="n"/>
      <c r="O133" s="21" t="n"/>
      <c r="P133" s="4">
        <f>IFERROR(O133/N133,0)</f>
        <v/>
      </c>
    </row>
    <row r="134">
      <c r="A134" s="23" t="n"/>
      <c r="B134" s="36" t="n"/>
      <c r="C134" s="1">
        <f>C133+1</f>
        <v/>
      </c>
      <c r="D134" s="21" t="n"/>
      <c r="E134" s="39">
        <f>D134+E133+J133</f>
        <v/>
      </c>
      <c r="F134" s="39">
        <f>IF(I133=0,(F133*$G$3+F133)-D133,I133-D133)</f>
        <v/>
      </c>
      <c r="G134" s="39">
        <f>IF(I133=0,0,I133-D133)</f>
        <v/>
      </c>
      <c r="H134" s="39">
        <f>(E134*$G$3)+E134</f>
        <v/>
      </c>
      <c r="I134" s="41" t="n"/>
      <c r="J134" s="39">
        <f>E134*$G$3</f>
        <v/>
      </c>
      <c r="K134" s="39">
        <f>G134*$G$3</f>
        <v/>
      </c>
      <c r="L134" s="40">
        <f>I134-G134</f>
        <v/>
      </c>
      <c r="M134" s="4">
        <f>IFERROR(L134/G134,0)</f>
        <v/>
      </c>
      <c r="N134" s="21" t="n"/>
      <c r="O134" s="21" t="n"/>
      <c r="P134" s="4">
        <f>IFERROR(O134/N134,0)</f>
        <v/>
      </c>
    </row>
    <row r="135">
      <c r="A135" s="23" t="n"/>
      <c r="B135" s="36" t="n"/>
      <c r="C135" s="1">
        <f>C134+1</f>
        <v/>
      </c>
      <c r="D135" s="21" t="n"/>
      <c r="E135" s="39">
        <f>D135+E134+J134</f>
        <v/>
      </c>
      <c r="F135" s="39">
        <f>IF(I134=0,(F134*$G$3+F134)-D134,I134-D134)</f>
        <v/>
      </c>
      <c r="G135" s="39">
        <f>IF(I134=0,0,I134-D134)</f>
        <v/>
      </c>
      <c r="H135" s="39">
        <f>(E135*$G$3)+E135</f>
        <v/>
      </c>
      <c r="I135" s="41" t="n"/>
      <c r="J135" s="39">
        <f>E135*$G$3</f>
        <v/>
      </c>
      <c r="K135" s="39">
        <f>G135*$G$3</f>
        <v/>
      </c>
      <c r="L135" s="40">
        <f>I135-G135</f>
        <v/>
      </c>
      <c r="M135" s="4">
        <f>IFERROR(L135/G135,0)</f>
        <v/>
      </c>
      <c r="N135" s="21" t="n"/>
      <c r="O135" s="21" t="n"/>
      <c r="P135" s="4">
        <f>IFERROR(O135/N135,0)</f>
        <v/>
      </c>
    </row>
    <row r="136">
      <c r="A136" s="23" t="n"/>
      <c r="B136" s="36" t="n"/>
      <c r="C136" s="1">
        <f>C135+1</f>
        <v/>
      </c>
      <c r="D136" s="21" t="n"/>
      <c r="E136" s="39">
        <f>D136+E135+J135</f>
        <v/>
      </c>
      <c r="F136" s="39">
        <f>IF(I135=0,(F135*$G$3+F135)-D135,I135-D135)</f>
        <v/>
      </c>
      <c r="G136" s="39">
        <f>IF(I135=0,0,I135-D135)</f>
        <v/>
      </c>
      <c r="H136" s="39">
        <f>(E136*$G$3)+E136</f>
        <v/>
      </c>
      <c r="I136" s="41" t="n"/>
      <c r="J136" s="39">
        <f>E136*$G$3</f>
        <v/>
      </c>
      <c r="K136" s="39">
        <f>G136*$G$3</f>
        <v/>
      </c>
      <c r="L136" s="40">
        <f>I136-G136</f>
        <v/>
      </c>
      <c r="M136" s="4">
        <f>IFERROR(L136/G136,0)</f>
        <v/>
      </c>
      <c r="N136" s="21" t="n"/>
      <c r="O136" s="21" t="n"/>
      <c r="P136" s="4">
        <f>IFERROR(O136/N136,0)</f>
        <v/>
      </c>
    </row>
    <row r="137">
      <c r="A137" s="23" t="n"/>
      <c r="B137" s="36" t="n"/>
      <c r="C137" s="1">
        <f>C136+1</f>
        <v/>
      </c>
      <c r="D137" s="21" t="n"/>
      <c r="E137" s="39">
        <f>D137+E136+J136</f>
        <v/>
      </c>
      <c r="F137" s="39">
        <f>IF(I136=0,(F136*$G$3+F136)-D136,I136-D136)</f>
        <v/>
      </c>
      <c r="G137" s="39">
        <f>IF(I136=0,0,I136-D136)</f>
        <v/>
      </c>
      <c r="H137" s="39">
        <f>(E137*$G$3)+E137</f>
        <v/>
      </c>
      <c r="I137" s="41" t="n"/>
      <c r="J137" s="39">
        <f>E137*$G$3</f>
        <v/>
      </c>
      <c r="K137" s="39">
        <f>G137*$G$3</f>
        <v/>
      </c>
      <c r="L137" s="40">
        <f>I137-G137</f>
        <v/>
      </c>
      <c r="M137" s="4">
        <f>IFERROR(L137/G137,0)</f>
        <v/>
      </c>
      <c r="N137" s="21" t="n"/>
      <c r="O137" s="21" t="n"/>
      <c r="P137" s="4">
        <f>IFERROR(O137/N137,0)</f>
        <v/>
      </c>
    </row>
    <row r="138">
      <c r="A138" s="23" t="n"/>
      <c r="B138" s="36" t="n"/>
      <c r="C138" s="1">
        <f>C137+1</f>
        <v/>
      </c>
      <c r="D138" s="21" t="n"/>
      <c r="E138" s="39">
        <f>D138+E137+J137</f>
        <v/>
      </c>
      <c r="F138" s="39">
        <f>IF(I137=0,(F137*$G$3+F137)-D137,I137-D137)</f>
        <v/>
      </c>
      <c r="G138" s="39">
        <f>IF(I137=0,0,I137-D137)</f>
        <v/>
      </c>
      <c r="H138" s="39">
        <f>(E138*$G$3)+E138</f>
        <v/>
      </c>
      <c r="I138" s="41" t="n"/>
      <c r="J138" s="39">
        <f>E138*$G$3</f>
        <v/>
      </c>
      <c r="K138" s="39">
        <f>G138*$G$3</f>
        <v/>
      </c>
      <c r="L138" s="40">
        <f>I138-G138</f>
        <v/>
      </c>
      <c r="M138" s="4">
        <f>IFERROR(L138/G138,0)</f>
        <v/>
      </c>
      <c r="N138" s="21" t="n"/>
      <c r="O138" s="21" t="n"/>
      <c r="P138" s="4">
        <f>IFERROR(O138/N138,0)</f>
        <v/>
      </c>
    </row>
    <row r="139">
      <c r="A139" s="23" t="n"/>
      <c r="B139" s="36" t="n"/>
      <c r="C139" s="1">
        <f>C138+1</f>
        <v/>
      </c>
      <c r="D139" s="21" t="n"/>
      <c r="E139" s="39">
        <f>D139+E138+J138</f>
        <v/>
      </c>
      <c r="F139" s="39">
        <f>IF(I138=0,(F138*$G$3+F138)-D138,I138-D138)</f>
        <v/>
      </c>
      <c r="G139" s="39">
        <f>IF(I138=0,0,I138-D138)</f>
        <v/>
      </c>
      <c r="H139" s="39">
        <f>(E139*$G$3)+E139</f>
        <v/>
      </c>
      <c r="I139" s="41" t="n"/>
      <c r="J139" s="39">
        <f>E139*$G$3</f>
        <v/>
      </c>
      <c r="K139" s="39">
        <f>G139*$G$3</f>
        <v/>
      </c>
      <c r="L139" s="40">
        <f>I139-G139</f>
        <v/>
      </c>
      <c r="M139" s="4">
        <f>IFERROR(L139/G139,0)</f>
        <v/>
      </c>
      <c r="N139" s="21" t="n"/>
      <c r="O139" s="21" t="n"/>
      <c r="P139" s="4">
        <f>IFERROR(O139/N139,0)</f>
        <v/>
      </c>
    </row>
    <row r="140">
      <c r="A140" s="23" t="n"/>
      <c r="B140" s="36" t="n"/>
      <c r="C140" s="1">
        <f>C139+1</f>
        <v/>
      </c>
      <c r="D140" s="21" t="n"/>
      <c r="E140" s="39">
        <f>D140+E139+J139</f>
        <v/>
      </c>
      <c r="F140" s="39">
        <f>IF(I139=0,(F139*$G$3+F139)-D139,I139-D139)</f>
        <v/>
      </c>
      <c r="G140" s="39">
        <f>IF(I139=0,0,I139-D139)</f>
        <v/>
      </c>
      <c r="H140" s="39">
        <f>(E140*$G$3)+E140</f>
        <v/>
      </c>
      <c r="I140" s="41" t="n"/>
      <c r="J140" s="39">
        <f>E140*$G$3</f>
        <v/>
      </c>
      <c r="K140" s="39">
        <f>G140*$G$3</f>
        <v/>
      </c>
      <c r="L140" s="40">
        <f>I140-G140</f>
        <v/>
      </c>
      <c r="M140" s="4">
        <f>IFERROR(L140/G140,0)</f>
        <v/>
      </c>
      <c r="N140" s="21" t="n"/>
      <c r="O140" s="21" t="n"/>
      <c r="P140" s="4">
        <f>IFERROR(O140/N140,0)</f>
        <v/>
      </c>
    </row>
    <row r="141">
      <c r="A141" s="23" t="n"/>
      <c r="B141" s="36" t="n"/>
      <c r="C141" s="1">
        <f>C140+1</f>
        <v/>
      </c>
      <c r="D141" s="21" t="n"/>
      <c r="E141" s="39">
        <f>D141+E140+J140</f>
        <v/>
      </c>
      <c r="F141" s="39">
        <f>IF(I140=0,(F140*$G$3+F140)-D140,I140-D140)</f>
        <v/>
      </c>
      <c r="G141" s="39">
        <f>IF(I140=0,0,I140-D140)</f>
        <v/>
      </c>
      <c r="H141" s="39">
        <f>(E141*$G$3)+E141</f>
        <v/>
      </c>
      <c r="I141" s="41" t="n"/>
      <c r="J141" s="39">
        <f>E141*$G$3</f>
        <v/>
      </c>
      <c r="K141" s="39">
        <f>G141*$G$3</f>
        <v/>
      </c>
      <c r="L141" s="40">
        <f>I141-G141</f>
        <v/>
      </c>
      <c r="M141" s="4">
        <f>IFERROR(L141/G141,0)</f>
        <v/>
      </c>
      <c r="N141" s="21" t="n"/>
      <c r="O141" s="21" t="n"/>
      <c r="P141" s="4">
        <f>IFERROR(O141/N141,0)</f>
        <v/>
      </c>
    </row>
    <row r="142">
      <c r="A142" s="23" t="n"/>
      <c r="B142" s="36" t="n"/>
      <c r="C142" s="1">
        <f>C141+1</f>
        <v/>
      </c>
      <c r="D142" s="21" t="n"/>
      <c r="E142" s="39">
        <f>D142+E141+J141</f>
        <v/>
      </c>
      <c r="F142" s="39">
        <f>IF(I141=0,(F141*$G$3+F141)-D141,I141-D141)</f>
        <v/>
      </c>
      <c r="G142" s="39">
        <f>IF(I141=0,0,I141-D141)</f>
        <v/>
      </c>
      <c r="H142" s="39">
        <f>(E142*$G$3)+E142</f>
        <v/>
      </c>
      <c r="I142" s="41" t="n"/>
      <c r="J142" s="39">
        <f>E142*$G$3</f>
        <v/>
      </c>
      <c r="K142" s="39">
        <f>G142*$G$3</f>
        <v/>
      </c>
      <c r="L142" s="40">
        <f>I142-G142</f>
        <v/>
      </c>
      <c r="M142" s="4">
        <f>IFERROR(L142/G142,0)</f>
        <v/>
      </c>
      <c r="N142" s="21" t="n"/>
      <c r="O142" s="21" t="n"/>
      <c r="P142" s="4">
        <f>IFERROR(O142/N142,0)</f>
        <v/>
      </c>
    </row>
    <row r="143">
      <c r="A143" s="23" t="n"/>
      <c r="B143" s="36" t="n"/>
      <c r="C143" s="1">
        <f>C142+1</f>
        <v/>
      </c>
      <c r="D143" s="21" t="n"/>
      <c r="E143" s="39">
        <f>D143+E142+J142</f>
        <v/>
      </c>
      <c r="F143" s="39">
        <f>IF(I142=0,(F142*$G$3+F142)-D142,I142-D142)</f>
        <v/>
      </c>
      <c r="G143" s="39">
        <f>IF(I142=0,0,I142-D142)</f>
        <v/>
      </c>
      <c r="H143" s="39">
        <f>(E143*$G$3)+E143</f>
        <v/>
      </c>
      <c r="I143" s="41" t="n"/>
      <c r="J143" s="39">
        <f>E143*$G$3</f>
        <v/>
      </c>
      <c r="K143" s="39">
        <f>G143*$G$3</f>
        <v/>
      </c>
      <c r="L143" s="40">
        <f>I143-G143</f>
        <v/>
      </c>
      <c r="M143" s="4">
        <f>IFERROR(L143/G143,0)</f>
        <v/>
      </c>
      <c r="N143" s="21" t="n"/>
      <c r="O143" s="21" t="n"/>
      <c r="P143" s="4">
        <f>IFERROR(O143/N143,0)</f>
        <v/>
      </c>
    </row>
    <row r="144">
      <c r="A144" s="23" t="n"/>
      <c r="B144" s="36" t="n"/>
      <c r="C144" s="1">
        <f>C143+1</f>
        <v/>
      </c>
      <c r="D144" s="21" t="n"/>
      <c r="E144" s="39">
        <f>D144+E143+J143</f>
        <v/>
      </c>
      <c r="F144" s="39">
        <f>IF(I143=0,(F143*$G$3+F143)-D143,I143-D143)</f>
        <v/>
      </c>
      <c r="G144" s="39">
        <f>IF(I143=0,0,I143-D143)</f>
        <v/>
      </c>
      <c r="H144" s="39">
        <f>(E144*$G$3)+E144</f>
        <v/>
      </c>
      <c r="I144" s="41" t="n"/>
      <c r="J144" s="39">
        <f>E144*$G$3</f>
        <v/>
      </c>
      <c r="K144" s="39">
        <f>G144*$G$3</f>
        <v/>
      </c>
      <c r="L144" s="40">
        <f>I144-G144</f>
        <v/>
      </c>
      <c r="M144" s="4">
        <f>IFERROR(L144/G144,0)</f>
        <v/>
      </c>
      <c r="N144" s="21" t="n"/>
      <c r="O144" s="21" t="n"/>
      <c r="P144" s="4">
        <f>IFERROR(O144/N144,0)</f>
        <v/>
      </c>
    </row>
    <row r="145">
      <c r="A145" s="23" t="n"/>
      <c r="B145" s="36" t="n"/>
      <c r="C145" s="1">
        <f>C144+1</f>
        <v/>
      </c>
      <c r="D145" s="21" t="n"/>
      <c r="E145" s="39">
        <f>D145+E144+J144</f>
        <v/>
      </c>
      <c r="F145" s="39">
        <f>IF(I144=0,(F144*$G$3+F144)-D144,I144-D144)</f>
        <v/>
      </c>
      <c r="G145" s="39">
        <f>IF(I144=0,0,I144-D144)</f>
        <v/>
      </c>
      <c r="H145" s="39">
        <f>(E145*$G$3)+E145</f>
        <v/>
      </c>
      <c r="I145" s="41" t="n"/>
      <c r="J145" s="39">
        <f>E145*$G$3</f>
        <v/>
      </c>
      <c r="K145" s="39">
        <f>G145*$G$3</f>
        <v/>
      </c>
      <c r="L145" s="40">
        <f>I145-G145</f>
        <v/>
      </c>
      <c r="M145" s="4">
        <f>IFERROR(L145/G145,0)</f>
        <v/>
      </c>
      <c r="N145" s="21" t="n"/>
      <c r="O145" s="21" t="n"/>
      <c r="P145" s="4">
        <f>IFERROR(O145/N145,0)</f>
        <v/>
      </c>
    </row>
    <row r="146">
      <c r="A146" s="23" t="n"/>
      <c r="B146" s="36" t="n"/>
      <c r="C146" s="1">
        <f>C145+1</f>
        <v/>
      </c>
      <c r="D146" s="21" t="n"/>
      <c r="E146" s="39">
        <f>D146+E145+J145</f>
        <v/>
      </c>
      <c r="F146" s="39">
        <f>IF(I145=0,(F145*$G$3+F145)-D145,I145-D145)</f>
        <v/>
      </c>
      <c r="G146" s="39">
        <f>IF(I145=0,0,I145-D145)</f>
        <v/>
      </c>
      <c r="H146" s="39">
        <f>(E146*$G$3)+E146</f>
        <v/>
      </c>
      <c r="I146" s="41" t="n"/>
      <c r="J146" s="39">
        <f>E146*$G$3</f>
        <v/>
      </c>
      <c r="K146" s="39">
        <f>G146*$G$3</f>
        <v/>
      </c>
      <c r="L146" s="40">
        <f>I146-G146</f>
        <v/>
      </c>
      <c r="M146" s="4">
        <f>IFERROR(L146/G146,0)</f>
        <v/>
      </c>
      <c r="N146" s="21" t="n"/>
      <c r="O146" s="21" t="n"/>
      <c r="P146" s="4">
        <f>IFERROR(O146/N146,0)</f>
        <v/>
      </c>
    </row>
    <row r="147">
      <c r="A147" s="23" t="n"/>
      <c r="B147" s="36" t="n"/>
      <c r="C147" s="1">
        <f>C146+1</f>
        <v/>
      </c>
      <c r="D147" s="21" t="n"/>
      <c r="E147" s="39">
        <f>D147+E146+J146</f>
        <v/>
      </c>
      <c r="F147" s="39">
        <f>IF(I146=0,(F146*$G$3+F146)-D146,I146-D146)</f>
        <v/>
      </c>
      <c r="G147" s="39">
        <f>IF(I146=0,0,I146-D146)</f>
        <v/>
      </c>
      <c r="H147" s="39">
        <f>(E147*$G$3)+E147</f>
        <v/>
      </c>
      <c r="I147" s="41" t="n"/>
      <c r="J147" s="39">
        <f>E147*$G$3</f>
        <v/>
      </c>
      <c r="K147" s="39">
        <f>G147*$G$3</f>
        <v/>
      </c>
      <c r="L147" s="40">
        <f>I147-G147</f>
        <v/>
      </c>
      <c r="M147" s="4">
        <f>IFERROR(L147/G147,0)</f>
        <v/>
      </c>
      <c r="N147" s="21" t="n"/>
      <c r="O147" s="21" t="n"/>
      <c r="P147" s="4">
        <f>IFERROR(O147/N147,0)</f>
        <v/>
      </c>
    </row>
    <row r="148">
      <c r="A148" s="23" t="n"/>
      <c r="B148" s="36" t="n"/>
      <c r="C148" s="1">
        <f>C147+1</f>
        <v/>
      </c>
      <c r="D148" s="21" t="n"/>
      <c r="E148" s="39">
        <f>D148+E147+J147</f>
        <v/>
      </c>
      <c r="F148" s="39">
        <f>IF(I147=0,(F147*$G$3+F147)-D147,I147-D147)</f>
        <v/>
      </c>
      <c r="G148" s="39">
        <f>IF(I147=0,0,I147-D147)</f>
        <v/>
      </c>
      <c r="H148" s="39">
        <f>(E148*$G$3)+E148</f>
        <v/>
      </c>
      <c r="I148" s="41" t="n"/>
      <c r="J148" s="39">
        <f>E148*$G$3</f>
        <v/>
      </c>
      <c r="K148" s="39">
        <f>G148*$G$3</f>
        <v/>
      </c>
      <c r="L148" s="40">
        <f>I148-G148</f>
        <v/>
      </c>
      <c r="M148" s="4">
        <f>IFERROR(L148/G148,0)</f>
        <v/>
      </c>
      <c r="N148" s="21" t="n"/>
      <c r="O148" s="21" t="n"/>
      <c r="P148" s="4">
        <f>IFERROR(O148/N148,0)</f>
        <v/>
      </c>
    </row>
    <row r="149">
      <c r="A149" s="23" t="n"/>
      <c r="B149" s="36" t="n"/>
      <c r="C149" s="1">
        <f>C148+1</f>
        <v/>
      </c>
      <c r="D149" s="21" t="n"/>
      <c r="E149" s="39">
        <f>D149+E148+J148</f>
        <v/>
      </c>
      <c r="F149" s="39">
        <f>IF(I148=0,(F148*$G$3+F148)-D148,I148-D148)</f>
        <v/>
      </c>
      <c r="G149" s="39">
        <f>IF(I148=0,0,I148-D148)</f>
        <v/>
      </c>
      <c r="H149" s="39">
        <f>(E149*$G$3)+E149</f>
        <v/>
      </c>
      <c r="I149" s="41" t="n"/>
      <c r="J149" s="39">
        <f>E149*$G$3</f>
        <v/>
      </c>
      <c r="K149" s="39">
        <f>G149*$G$3</f>
        <v/>
      </c>
      <c r="L149" s="40">
        <f>I149-G149</f>
        <v/>
      </c>
      <c r="M149" s="4">
        <f>IFERROR(L149/G149,0)</f>
        <v/>
      </c>
      <c r="N149" s="21" t="n"/>
      <c r="O149" s="21" t="n"/>
      <c r="P149" s="4">
        <f>IFERROR(O149/N149,0)</f>
        <v/>
      </c>
    </row>
    <row r="150">
      <c r="A150" s="23" t="n"/>
      <c r="B150" s="36" t="n"/>
      <c r="C150" s="1">
        <f>C149+1</f>
        <v/>
      </c>
      <c r="D150" s="21" t="n"/>
      <c r="E150" s="39">
        <f>D150+E149+J149</f>
        <v/>
      </c>
      <c r="F150" s="39">
        <f>IF(I149=0,(F149*$G$3+F149)-D149,I149-D149)</f>
        <v/>
      </c>
      <c r="G150" s="39">
        <f>IF(I149=0,0,I149-D149)</f>
        <v/>
      </c>
      <c r="H150" s="39">
        <f>(E150*$G$3)+E150</f>
        <v/>
      </c>
      <c r="I150" s="41" t="n"/>
      <c r="J150" s="39">
        <f>E150*$G$3</f>
        <v/>
      </c>
      <c r="K150" s="39">
        <f>G150*$G$3</f>
        <v/>
      </c>
      <c r="L150" s="40">
        <f>I150-G150</f>
        <v/>
      </c>
      <c r="M150" s="4">
        <f>IFERROR(L150/G150,0)</f>
        <v/>
      </c>
      <c r="N150" s="21" t="n"/>
      <c r="O150" s="21" t="n"/>
      <c r="P150" s="4">
        <f>IFERROR(O150/N150,0)</f>
        <v/>
      </c>
    </row>
    <row r="151">
      <c r="A151" s="23" t="n"/>
      <c r="B151" s="36" t="n"/>
      <c r="C151" s="1">
        <f>C150+1</f>
        <v/>
      </c>
      <c r="D151" s="21" t="n"/>
      <c r="E151" s="39">
        <f>D151+E150+J150</f>
        <v/>
      </c>
      <c r="F151" s="39">
        <f>IF(I150=0,(F150*$G$3+F150)-D150,I150-D150)</f>
        <v/>
      </c>
      <c r="G151" s="39">
        <f>IF(I150=0,0,I150-D150)</f>
        <v/>
      </c>
      <c r="H151" s="39">
        <f>(E151*$G$3)+E151</f>
        <v/>
      </c>
      <c r="I151" s="41" t="n"/>
      <c r="J151" s="39">
        <f>E151*$G$3</f>
        <v/>
      </c>
      <c r="K151" s="39">
        <f>G151*$G$3</f>
        <v/>
      </c>
      <c r="L151" s="40">
        <f>I151-G151</f>
        <v/>
      </c>
      <c r="M151" s="4">
        <f>IFERROR(L151/G151,0)</f>
        <v/>
      </c>
      <c r="N151" s="21" t="n"/>
      <c r="O151" s="21" t="n"/>
      <c r="P151" s="4">
        <f>IFERROR(O151/N151,0)</f>
        <v/>
      </c>
    </row>
    <row r="152">
      <c r="A152" s="23" t="n"/>
      <c r="B152" s="36" t="n"/>
      <c r="C152" s="1">
        <f>C151+1</f>
        <v/>
      </c>
      <c r="D152" s="21" t="n"/>
      <c r="E152" s="39">
        <f>D152+E151+J151</f>
        <v/>
      </c>
      <c r="F152" s="39">
        <f>IF(I151=0,(F151*$G$3+F151)-D151,I151-D151)</f>
        <v/>
      </c>
      <c r="G152" s="39">
        <f>IF(I151=0,0,I151-D151)</f>
        <v/>
      </c>
      <c r="H152" s="39">
        <f>(E152*$G$3)+E152</f>
        <v/>
      </c>
      <c r="I152" s="41" t="n"/>
      <c r="J152" s="39">
        <f>E152*$G$3</f>
        <v/>
      </c>
      <c r="K152" s="39">
        <f>G152*$G$3</f>
        <v/>
      </c>
      <c r="L152" s="40">
        <f>I152-G152</f>
        <v/>
      </c>
      <c r="M152" s="4">
        <f>IFERROR(L152/G152,0)</f>
        <v/>
      </c>
      <c r="N152" s="21" t="n"/>
      <c r="O152" s="21" t="n"/>
      <c r="P152" s="4">
        <f>IFERROR(O152/N152,0)</f>
        <v/>
      </c>
    </row>
    <row r="153">
      <c r="A153" s="23" t="n"/>
      <c r="B153" s="36" t="n"/>
      <c r="C153" s="1">
        <f>C152+1</f>
        <v/>
      </c>
      <c r="D153" s="21" t="n"/>
      <c r="E153" s="39">
        <f>D153+E152+J152</f>
        <v/>
      </c>
      <c r="F153" s="39">
        <f>IF(I152=0,(F152*$G$3+F152)-D152,I152-D152)</f>
        <v/>
      </c>
      <c r="G153" s="39">
        <f>IF(I152=0,0,I152-D152)</f>
        <v/>
      </c>
      <c r="H153" s="39">
        <f>(E153*$G$3)+E153</f>
        <v/>
      </c>
      <c r="I153" s="41" t="n"/>
      <c r="J153" s="39">
        <f>E153*$G$3</f>
        <v/>
      </c>
      <c r="K153" s="39">
        <f>G153*$G$3</f>
        <v/>
      </c>
      <c r="L153" s="40">
        <f>I153-G153</f>
        <v/>
      </c>
      <c r="M153" s="4">
        <f>IFERROR(L153/G153,0)</f>
        <v/>
      </c>
      <c r="N153" s="21" t="n"/>
      <c r="O153" s="21" t="n"/>
      <c r="P153" s="4">
        <f>IFERROR(O153/N153,0)</f>
        <v/>
      </c>
    </row>
    <row r="154">
      <c r="A154" s="23" t="n"/>
      <c r="B154" s="36" t="n"/>
      <c r="C154" s="1">
        <f>C153+1</f>
        <v/>
      </c>
      <c r="D154" s="21" t="n"/>
      <c r="E154" s="39">
        <f>D154+E153+J153</f>
        <v/>
      </c>
      <c r="F154" s="39">
        <f>IF(I153=0,(F153*$G$3+F153)-D153,I153-D153)</f>
        <v/>
      </c>
      <c r="G154" s="39">
        <f>IF(I153=0,0,I153-D153)</f>
        <v/>
      </c>
      <c r="H154" s="39">
        <f>(E154*$G$3)+E154</f>
        <v/>
      </c>
      <c r="I154" s="41" t="n"/>
      <c r="J154" s="39">
        <f>E154*$G$3</f>
        <v/>
      </c>
      <c r="K154" s="39">
        <f>G154*$G$3</f>
        <v/>
      </c>
      <c r="L154" s="40">
        <f>I154-G154</f>
        <v/>
      </c>
      <c r="M154" s="4">
        <f>IFERROR(L154/G154,0)</f>
        <v/>
      </c>
      <c r="N154" s="21" t="n"/>
      <c r="O154" s="21" t="n"/>
      <c r="P154" s="4">
        <f>IFERROR(O154/N154,0)</f>
        <v/>
      </c>
    </row>
    <row r="155">
      <c r="A155" s="23" t="n"/>
      <c r="B155" s="36" t="n"/>
      <c r="C155" s="1">
        <f>C154+1</f>
        <v/>
      </c>
      <c r="D155" s="21" t="n"/>
      <c r="E155" s="39">
        <f>D155+E154+J154</f>
        <v/>
      </c>
      <c r="F155" s="39">
        <f>IF(I154=0,(F154*$G$3+F154)-D154,I154-D154)</f>
        <v/>
      </c>
      <c r="G155" s="39">
        <f>IF(I154=0,0,I154-D154)</f>
        <v/>
      </c>
      <c r="H155" s="39">
        <f>(E155*$G$3)+E155</f>
        <v/>
      </c>
      <c r="I155" s="41" t="n"/>
      <c r="J155" s="39">
        <f>E155*$G$3</f>
        <v/>
      </c>
      <c r="K155" s="39">
        <f>G155*$G$3</f>
        <v/>
      </c>
      <c r="L155" s="40">
        <f>I155-G155</f>
        <v/>
      </c>
      <c r="M155" s="4">
        <f>IFERROR(L155/G155,0)</f>
        <v/>
      </c>
      <c r="N155" s="21" t="n"/>
      <c r="O155" s="21" t="n"/>
      <c r="P155" s="4">
        <f>IFERROR(O155/N155,0)</f>
        <v/>
      </c>
    </row>
    <row r="156">
      <c r="A156" s="23" t="n"/>
      <c r="B156" s="36" t="n"/>
      <c r="C156" s="1">
        <f>C155+1</f>
        <v/>
      </c>
      <c r="D156" s="21" t="n"/>
      <c r="E156" s="39">
        <f>D156+E155+J155</f>
        <v/>
      </c>
      <c r="F156" s="39">
        <f>IF(I155=0,(F155*$G$3+F155)-D155,I155-D155)</f>
        <v/>
      </c>
      <c r="G156" s="39">
        <f>IF(I155=0,0,I155-D155)</f>
        <v/>
      </c>
      <c r="H156" s="39">
        <f>(E156*$G$3)+E156</f>
        <v/>
      </c>
      <c r="I156" s="41" t="n"/>
      <c r="J156" s="39">
        <f>E156*$G$3</f>
        <v/>
      </c>
      <c r="K156" s="39">
        <f>G156*$G$3</f>
        <v/>
      </c>
      <c r="L156" s="40">
        <f>I156-G156</f>
        <v/>
      </c>
      <c r="M156" s="4">
        <f>IFERROR(L156/G156,0)</f>
        <v/>
      </c>
      <c r="N156" s="21" t="n"/>
      <c r="O156" s="21" t="n"/>
      <c r="P156" s="4">
        <f>IFERROR(O156/N156,0)</f>
        <v/>
      </c>
    </row>
    <row r="157">
      <c r="A157" s="23" t="n"/>
      <c r="B157" s="36" t="n"/>
      <c r="C157" s="1">
        <f>C156+1</f>
        <v/>
      </c>
      <c r="D157" s="21" t="n"/>
      <c r="E157" s="39">
        <f>D157+E156+J156</f>
        <v/>
      </c>
      <c r="F157" s="39">
        <f>IF(I156=0,(F156*$G$3+F156)-D156,I156-D156)</f>
        <v/>
      </c>
      <c r="G157" s="39">
        <f>IF(I156=0,0,I156-D156)</f>
        <v/>
      </c>
      <c r="H157" s="39">
        <f>(E157*$G$3)+E157</f>
        <v/>
      </c>
      <c r="I157" s="41" t="n"/>
      <c r="J157" s="39">
        <f>E157*$G$3</f>
        <v/>
      </c>
      <c r="K157" s="39">
        <f>G157*$G$3</f>
        <v/>
      </c>
      <c r="L157" s="40">
        <f>I157-G157</f>
        <v/>
      </c>
      <c r="M157" s="4">
        <f>IFERROR(L157/G157,0)</f>
        <v/>
      </c>
      <c r="N157" s="21" t="n"/>
      <c r="O157" s="21" t="n"/>
      <c r="P157" s="4">
        <f>IFERROR(O157/N157,0)</f>
        <v/>
      </c>
    </row>
    <row r="158">
      <c r="A158" s="23" t="n"/>
      <c r="B158" s="36" t="n"/>
      <c r="C158" s="1">
        <f>C157+1</f>
        <v/>
      </c>
      <c r="D158" s="21" t="n"/>
      <c r="E158" s="39">
        <f>D158+E157+J157</f>
        <v/>
      </c>
      <c r="F158" s="39">
        <f>IF(I157=0,(F157*$G$3+F157)-D157,I157-D157)</f>
        <v/>
      </c>
      <c r="G158" s="39">
        <f>IF(I157=0,0,I157-D157)</f>
        <v/>
      </c>
      <c r="H158" s="39">
        <f>(E158*$G$3)+E158</f>
        <v/>
      </c>
      <c r="I158" s="41" t="n"/>
      <c r="J158" s="39">
        <f>E158*$G$3</f>
        <v/>
      </c>
      <c r="K158" s="39">
        <f>G158*$G$3</f>
        <v/>
      </c>
      <c r="L158" s="40">
        <f>I158-G158</f>
        <v/>
      </c>
      <c r="M158" s="4">
        <f>IFERROR(L158/G158,0)</f>
        <v/>
      </c>
      <c r="N158" s="21" t="n"/>
      <c r="O158" s="21" t="n"/>
      <c r="P158" s="4">
        <f>IFERROR(O158/N158,0)</f>
        <v/>
      </c>
    </row>
    <row r="159">
      <c r="A159" s="23" t="n"/>
      <c r="B159" s="36" t="n"/>
      <c r="C159" s="1">
        <f>C158+1</f>
        <v/>
      </c>
      <c r="D159" s="21" t="n"/>
      <c r="E159" s="39">
        <f>D159+E158+J158</f>
        <v/>
      </c>
      <c r="F159" s="39">
        <f>IF(I158=0,(F158*$G$3+F158)-D158,I158-D158)</f>
        <v/>
      </c>
      <c r="G159" s="39">
        <f>IF(I158=0,0,I158-D158)</f>
        <v/>
      </c>
      <c r="H159" s="39">
        <f>(E159*$G$3)+E159</f>
        <v/>
      </c>
      <c r="I159" s="41" t="n"/>
      <c r="J159" s="39">
        <f>E159*$G$3</f>
        <v/>
      </c>
      <c r="K159" s="39">
        <f>G159*$G$3</f>
        <v/>
      </c>
      <c r="L159" s="40">
        <f>I159-G159</f>
        <v/>
      </c>
      <c r="M159" s="4">
        <f>IFERROR(L159/G159,0)</f>
        <v/>
      </c>
      <c r="N159" s="21" t="n"/>
      <c r="O159" s="21" t="n"/>
      <c r="P159" s="4">
        <f>IFERROR(O159/N159,0)</f>
        <v/>
      </c>
    </row>
    <row r="160">
      <c r="A160" s="23" t="n"/>
      <c r="B160" s="36" t="n"/>
      <c r="C160" s="1">
        <f>C159+1</f>
        <v/>
      </c>
      <c r="D160" s="21" t="n"/>
      <c r="E160" s="39">
        <f>D160+E159+J159</f>
        <v/>
      </c>
      <c r="F160" s="39">
        <f>IF(I159=0,(F159*$G$3+F159)-D159,I159-D159)</f>
        <v/>
      </c>
      <c r="G160" s="39">
        <f>IF(I159=0,0,I159-D159)</f>
        <v/>
      </c>
      <c r="H160" s="39">
        <f>(E160*$G$3)+E160</f>
        <v/>
      </c>
      <c r="I160" s="41" t="n"/>
      <c r="J160" s="39">
        <f>E160*$G$3</f>
        <v/>
      </c>
      <c r="K160" s="39">
        <f>G160*$G$3</f>
        <v/>
      </c>
      <c r="L160" s="40">
        <f>I160-G160</f>
        <v/>
      </c>
      <c r="M160" s="4">
        <f>IFERROR(L160/G160,0)</f>
        <v/>
      </c>
      <c r="N160" s="21" t="n"/>
      <c r="O160" s="21" t="n"/>
      <c r="P160" s="4">
        <f>IFERROR(O160/N160,0)</f>
        <v/>
      </c>
    </row>
    <row r="161">
      <c r="A161" s="23" t="n"/>
      <c r="B161" s="36" t="n"/>
      <c r="C161" s="1">
        <f>C160+1</f>
        <v/>
      </c>
      <c r="D161" s="21" t="n"/>
      <c r="E161" s="39">
        <f>D161+E160+J160</f>
        <v/>
      </c>
      <c r="F161" s="39">
        <f>IF(I160=0,(F160*$G$3+F160)-D160,I160-D160)</f>
        <v/>
      </c>
      <c r="G161" s="39">
        <f>IF(I160=0,0,I160-D160)</f>
        <v/>
      </c>
      <c r="H161" s="39">
        <f>(E161*$G$3)+E161</f>
        <v/>
      </c>
      <c r="I161" s="41" t="n"/>
      <c r="J161" s="39">
        <f>E161*$G$3</f>
        <v/>
      </c>
      <c r="K161" s="39">
        <f>G161*$G$3</f>
        <v/>
      </c>
      <c r="L161" s="40">
        <f>I161-G161</f>
        <v/>
      </c>
      <c r="M161" s="4">
        <f>IFERROR(L161/G161,0)</f>
        <v/>
      </c>
      <c r="N161" s="21" t="n"/>
      <c r="O161" s="21" t="n"/>
      <c r="P161" s="4">
        <f>IFERROR(O161/N161,0)</f>
        <v/>
      </c>
    </row>
    <row r="162">
      <c r="A162" s="23" t="n"/>
      <c r="B162" s="36" t="n"/>
      <c r="C162" s="1">
        <f>C161+1</f>
        <v/>
      </c>
      <c r="D162" s="21" t="n"/>
      <c r="E162" s="39">
        <f>D162+E161+J161</f>
        <v/>
      </c>
      <c r="F162" s="39">
        <f>IF(I161=0,(F161*$G$3+F161)-D161,I161-D161)</f>
        <v/>
      </c>
      <c r="G162" s="39">
        <f>IF(I161=0,0,I161-D161)</f>
        <v/>
      </c>
      <c r="H162" s="39">
        <f>(E162*$G$3)+E162</f>
        <v/>
      </c>
      <c r="I162" s="41" t="n"/>
      <c r="J162" s="39">
        <f>E162*$G$3</f>
        <v/>
      </c>
      <c r="K162" s="39">
        <f>G162*$G$3</f>
        <v/>
      </c>
      <c r="L162" s="40">
        <f>I162-G162</f>
        <v/>
      </c>
      <c r="M162" s="4">
        <f>IFERROR(L162/G162,0)</f>
        <v/>
      </c>
      <c r="N162" s="21" t="n"/>
      <c r="O162" s="21" t="n"/>
      <c r="P162" s="4">
        <f>IFERROR(O162/N162,0)</f>
        <v/>
      </c>
    </row>
    <row r="163">
      <c r="A163" s="23" t="n"/>
      <c r="B163" s="36" t="n"/>
      <c r="C163" s="1">
        <f>C162+1</f>
        <v/>
      </c>
      <c r="D163" s="21" t="n"/>
      <c r="E163" s="39">
        <f>D163+E162+J162</f>
        <v/>
      </c>
      <c r="F163" s="39">
        <f>IF(I162=0,(F162*$G$3+F162)-D162,I162-D162)</f>
        <v/>
      </c>
      <c r="G163" s="39">
        <f>IF(I162=0,0,I162-D162)</f>
        <v/>
      </c>
      <c r="H163" s="39">
        <f>(E163*$G$3)+E163</f>
        <v/>
      </c>
      <c r="I163" s="41" t="n"/>
      <c r="J163" s="39">
        <f>E163*$G$3</f>
        <v/>
      </c>
      <c r="K163" s="39">
        <f>G163*$G$3</f>
        <v/>
      </c>
      <c r="L163" s="40">
        <f>I163-G163</f>
        <v/>
      </c>
      <c r="M163" s="4">
        <f>IFERROR(L163/G163,0)</f>
        <v/>
      </c>
      <c r="N163" s="21" t="n"/>
      <c r="O163" s="21" t="n"/>
      <c r="P163" s="4">
        <f>IFERROR(O163/N163,0)</f>
        <v/>
      </c>
    </row>
    <row r="164">
      <c r="A164" s="23" t="n"/>
      <c r="B164" s="36" t="n"/>
      <c r="C164" s="1">
        <f>C163+1</f>
        <v/>
      </c>
      <c r="D164" s="21" t="n"/>
      <c r="E164" s="39">
        <f>D164+E163+J163</f>
        <v/>
      </c>
      <c r="F164" s="39">
        <f>IF(I163=0,(F163*$G$3+F163)-D163,I163-D163)</f>
        <v/>
      </c>
      <c r="G164" s="39">
        <f>IF(I163=0,0,I163-D163)</f>
        <v/>
      </c>
      <c r="H164" s="39">
        <f>(E164*$G$3)+E164</f>
        <v/>
      </c>
      <c r="I164" s="41" t="n"/>
      <c r="J164" s="39">
        <f>E164*$G$3</f>
        <v/>
      </c>
      <c r="K164" s="39">
        <f>G164*$G$3</f>
        <v/>
      </c>
      <c r="L164" s="40">
        <f>I164-G164</f>
        <v/>
      </c>
      <c r="M164" s="4">
        <f>IFERROR(L164/G164,0)</f>
        <v/>
      </c>
      <c r="N164" s="21" t="n"/>
      <c r="O164" s="21" t="n"/>
      <c r="P164" s="4">
        <f>IFERROR(O164/N164,0)</f>
        <v/>
      </c>
    </row>
    <row r="165">
      <c r="A165" s="23" t="n"/>
      <c r="B165" s="36" t="n"/>
      <c r="C165" s="1">
        <f>C164+1</f>
        <v/>
      </c>
      <c r="D165" s="21" t="n"/>
      <c r="E165" s="39">
        <f>D165+E164+J164</f>
        <v/>
      </c>
      <c r="F165" s="39">
        <f>IF(I164=0,(F164*$G$3+F164)-D164,I164-D164)</f>
        <v/>
      </c>
      <c r="G165" s="39">
        <f>IF(I164=0,0,I164-D164)</f>
        <v/>
      </c>
      <c r="H165" s="39">
        <f>(E165*$G$3)+E165</f>
        <v/>
      </c>
      <c r="I165" s="41" t="n"/>
      <c r="J165" s="39">
        <f>E165*$G$3</f>
        <v/>
      </c>
      <c r="K165" s="39">
        <f>G165*$G$3</f>
        <v/>
      </c>
      <c r="L165" s="40">
        <f>I165-G165</f>
        <v/>
      </c>
      <c r="M165" s="4">
        <f>IFERROR(L165/G165,0)</f>
        <v/>
      </c>
      <c r="N165" s="21" t="n"/>
      <c r="O165" s="21" t="n"/>
      <c r="P165" s="4">
        <f>IFERROR(O165/N165,0)</f>
        <v/>
      </c>
    </row>
    <row r="166">
      <c r="A166" s="23" t="n"/>
      <c r="B166" s="36" t="n"/>
      <c r="C166" s="1">
        <f>C165+1</f>
        <v/>
      </c>
      <c r="D166" s="21" t="n"/>
      <c r="E166" s="39">
        <f>D166+E165+J165</f>
        <v/>
      </c>
      <c r="F166" s="39">
        <f>IF(I165=0,(F165*$G$3+F165)-D165,I165-D165)</f>
        <v/>
      </c>
      <c r="G166" s="39">
        <f>IF(I165=0,0,I165-D165)</f>
        <v/>
      </c>
      <c r="H166" s="39">
        <f>(E166*$G$3)+E166</f>
        <v/>
      </c>
      <c r="I166" s="41" t="n"/>
      <c r="J166" s="39">
        <f>E166*$G$3</f>
        <v/>
      </c>
      <c r="K166" s="39">
        <f>G166*$G$3</f>
        <v/>
      </c>
      <c r="L166" s="40">
        <f>I166-G166</f>
        <v/>
      </c>
      <c r="M166" s="4">
        <f>IFERROR(L166/G166,0)</f>
        <v/>
      </c>
      <c r="N166" s="21" t="n"/>
      <c r="O166" s="21" t="n"/>
      <c r="P166" s="4">
        <f>IFERROR(O166/N166,0)</f>
        <v/>
      </c>
    </row>
    <row r="167">
      <c r="A167" s="23" t="n"/>
      <c r="B167" s="36" t="n"/>
      <c r="C167" s="1">
        <f>C166+1</f>
        <v/>
      </c>
      <c r="D167" s="21" t="n"/>
      <c r="E167" s="39">
        <f>D167+E166+J166</f>
        <v/>
      </c>
      <c r="F167" s="39">
        <f>IF(I166=0,(F166*$G$3+F166)-D166,I166-D166)</f>
        <v/>
      </c>
      <c r="G167" s="39">
        <f>IF(I166=0,0,I166-D166)</f>
        <v/>
      </c>
      <c r="H167" s="39">
        <f>(E167*$G$3)+E167</f>
        <v/>
      </c>
      <c r="I167" s="41" t="n"/>
      <c r="J167" s="39">
        <f>E167*$G$3</f>
        <v/>
      </c>
      <c r="K167" s="39">
        <f>G167*$G$3</f>
        <v/>
      </c>
      <c r="L167" s="40">
        <f>I167-G167</f>
        <v/>
      </c>
      <c r="M167" s="4">
        <f>IFERROR(L167/G167,0)</f>
        <v/>
      </c>
      <c r="N167" s="21" t="n"/>
      <c r="O167" s="21" t="n"/>
      <c r="P167" s="4">
        <f>IFERROR(O167/N167,0)</f>
        <v/>
      </c>
    </row>
    <row r="168">
      <c r="A168" s="23" t="n"/>
      <c r="B168" s="36" t="n"/>
      <c r="C168" s="1">
        <f>C167+1</f>
        <v/>
      </c>
      <c r="D168" s="21" t="n"/>
      <c r="E168" s="39">
        <f>D168+E167+J167</f>
        <v/>
      </c>
      <c r="F168" s="39">
        <f>IF(I167=0,(F167*$G$3+F167)-D167,I167-D167)</f>
        <v/>
      </c>
      <c r="G168" s="39">
        <f>IF(I167=0,0,I167-D167)</f>
        <v/>
      </c>
      <c r="H168" s="39">
        <f>(E168*$G$3)+E168</f>
        <v/>
      </c>
      <c r="I168" s="41" t="n"/>
      <c r="J168" s="39">
        <f>E168*$G$3</f>
        <v/>
      </c>
      <c r="K168" s="39">
        <f>G168*$G$3</f>
        <v/>
      </c>
      <c r="L168" s="40">
        <f>I168-G168</f>
        <v/>
      </c>
      <c r="M168" s="4">
        <f>IFERROR(L168/G168,0)</f>
        <v/>
      </c>
      <c r="N168" s="21" t="n"/>
      <c r="O168" s="21" t="n"/>
      <c r="P168" s="4">
        <f>IFERROR(O168/N168,0)</f>
        <v/>
      </c>
    </row>
    <row r="169">
      <c r="A169" s="23" t="n"/>
      <c r="B169" s="36" t="n"/>
      <c r="C169" s="1">
        <f>C168+1</f>
        <v/>
      </c>
      <c r="D169" s="21" t="n"/>
      <c r="E169" s="39">
        <f>D169+E168+J168</f>
        <v/>
      </c>
      <c r="F169" s="39">
        <f>IF(I168=0,(F168*$G$3+F168)-D168,I168-D168)</f>
        <v/>
      </c>
      <c r="G169" s="39">
        <f>IF(I168=0,0,I168-D168)</f>
        <v/>
      </c>
      <c r="H169" s="39">
        <f>(E169*$G$3)+E169</f>
        <v/>
      </c>
      <c r="I169" s="41" t="n"/>
      <c r="J169" s="39">
        <f>E169*$G$3</f>
        <v/>
      </c>
      <c r="K169" s="39">
        <f>G169*$G$3</f>
        <v/>
      </c>
      <c r="L169" s="40">
        <f>I169-G169</f>
        <v/>
      </c>
      <c r="M169" s="4">
        <f>IFERROR(L169/G169,0)</f>
        <v/>
      </c>
      <c r="N169" s="21" t="n"/>
      <c r="O169" s="21" t="n"/>
      <c r="P169" s="4">
        <f>IFERROR(O169/N169,0)</f>
        <v/>
      </c>
    </row>
    <row r="170">
      <c r="A170" s="23" t="n"/>
      <c r="B170" s="36" t="n"/>
      <c r="C170" s="1">
        <f>C169+1</f>
        <v/>
      </c>
      <c r="D170" s="21" t="n"/>
      <c r="E170" s="39">
        <f>D170+E169+J169</f>
        <v/>
      </c>
      <c r="F170" s="39">
        <f>IF(I169=0,(F169*$G$3+F169)-D169,I169-D169)</f>
        <v/>
      </c>
      <c r="G170" s="39">
        <f>IF(I169=0,0,I169-D169)</f>
        <v/>
      </c>
      <c r="H170" s="39">
        <f>(E170*$G$3)+E170</f>
        <v/>
      </c>
      <c r="I170" s="41" t="n"/>
      <c r="J170" s="39">
        <f>E170*$G$3</f>
        <v/>
      </c>
      <c r="K170" s="39">
        <f>G170*$G$3</f>
        <v/>
      </c>
      <c r="L170" s="40">
        <f>I170-G170</f>
        <v/>
      </c>
      <c r="M170" s="4">
        <f>IFERROR(L170/G170,0)</f>
        <v/>
      </c>
      <c r="N170" s="21" t="n"/>
      <c r="O170" s="21" t="n"/>
      <c r="P170" s="4">
        <f>IFERROR(O170/N170,0)</f>
        <v/>
      </c>
    </row>
    <row r="171">
      <c r="A171" s="23" t="n"/>
      <c r="B171" s="36" t="n"/>
      <c r="C171" s="1">
        <f>C170+1</f>
        <v/>
      </c>
      <c r="D171" s="21" t="n"/>
      <c r="E171" s="39">
        <f>D171+E170+J170</f>
        <v/>
      </c>
      <c r="F171" s="39">
        <f>IF(I170=0,(F170*$G$3+F170)-D170,I170-D170)</f>
        <v/>
      </c>
      <c r="G171" s="39">
        <f>IF(I170=0,0,I170-D170)</f>
        <v/>
      </c>
      <c r="H171" s="39">
        <f>(E171*$G$3)+E171</f>
        <v/>
      </c>
      <c r="I171" s="41" t="n"/>
      <c r="J171" s="39">
        <f>E171*$G$3</f>
        <v/>
      </c>
      <c r="K171" s="39">
        <f>G171*$G$3</f>
        <v/>
      </c>
      <c r="L171" s="40">
        <f>I171-G171</f>
        <v/>
      </c>
      <c r="M171" s="4">
        <f>IFERROR(L171/G171,0)</f>
        <v/>
      </c>
      <c r="N171" s="21" t="n"/>
      <c r="O171" s="21" t="n"/>
      <c r="P171" s="4">
        <f>IFERROR(O171/N171,0)</f>
        <v/>
      </c>
    </row>
    <row r="172">
      <c r="A172" s="23" t="n"/>
      <c r="B172" s="36" t="n"/>
      <c r="C172" s="1">
        <f>C171+1</f>
        <v/>
      </c>
      <c r="D172" s="21" t="n"/>
      <c r="E172" s="39">
        <f>D172+E171+J171</f>
        <v/>
      </c>
      <c r="F172" s="39">
        <f>IF(I171=0,(F171*$G$3+F171)-D171,I171-D171)</f>
        <v/>
      </c>
      <c r="G172" s="39">
        <f>IF(I171=0,0,I171-D171)</f>
        <v/>
      </c>
      <c r="H172" s="39">
        <f>(E172*$G$3)+E172</f>
        <v/>
      </c>
      <c r="I172" s="41" t="n"/>
      <c r="J172" s="39">
        <f>E172*$G$3</f>
        <v/>
      </c>
      <c r="K172" s="39">
        <f>G172*$G$3</f>
        <v/>
      </c>
      <c r="L172" s="40">
        <f>I172-G172</f>
        <v/>
      </c>
      <c r="M172" s="4">
        <f>IFERROR(L172/G172,0)</f>
        <v/>
      </c>
      <c r="N172" s="21" t="n"/>
      <c r="O172" s="21" t="n"/>
      <c r="P172" s="4">
        <f>IFERROR(O172/N172,0)</f>
        <v/>
      </c>
    </row>
    <row r="173">
      <c r="A173" s="23" t="n"/>
      <c r="B173" s="36" t="n"/>
      <c r="C173" s="1">
        <f>C172+1</f>
        <v/>
      </c>
      <c r="D173" s="21" t="n"/>
      <c r="E173" s="39">
        <f>D173+E172+J172</f>
        <v/>
      </c>
      <c r="F173" s="39">
        <f>IF(I172=0,(F172*$G$3+F172)-D172,I172-D172)</f>
        <v/>
      </c>
      <c r="G173" s="39">
        <f>IF(I172=0,0,I172-D172)</f>
        <v/>
      </c>
      <c r="H173" s="39">
        <f>(E173*$G$3)+E173</f>
        <v/>
      </c>
      <c r="I173" s="41" t="n"/>
      <c r="J173" s="39">
        <f>E173*$G$3</f>
        <v/>
      </c>
      <c r="K173" s="39">
        <f>G173*$G$3</f>
        <v/>
      </c>
      <c r="L173" s="40">
        <f>I173-G173</f>
        <v/>
      </c>
      <c r="M173" s="4">
        <f>IFERROR(L173/G173,0)</f>
        <v/>
      </c>
      <c r="N173" s="21" t="n"/>
      <c r="O173" s="21" t="n"/>
      <c r="P173" s="4">
        <f>IFERROR(O173/N173,0)</f>
        <v/>
      </c>
    </row>
    <row r="174">
      <c r="A174" s="23" t="n"/>
      <c r="B174" s="36" t="n"/>
      <c r="C174" s="1">
        <f>C173+1</f>
        <v/>
      </c>
      <c r="D174" s="21" t="n"/>
      <c r="E174" s="39">
        <f>D174+E173+J173</f>
        <v/>
      </c>
      <c r="F174" s="39">
        <f>IF(I173=0,(F173*$G$3+F173)-D173,I173-D173)</f>
        <v/>
      </c>
      <c r="G174" s="39">
        <f>IF(I173=0,0,I173-D173)</f>
        <v/>
      </c>
      <c r="H174" s="39">
        <f>(E174*$G$3)+E174</f>
        <v/>
      </c>
      <c r="I174" s="41" t="n"/>
      <c r="J174" s="39">
        <f>E174*$G$3</f>
        <v/>
      </c>
      <c r="K174" s="39">
        <f>G174*$G$3</f>
        <v/>
      </c>
      <c r="L174" s="40">
        <f>I174-G174</f>
        <v/>
      </c>
      <c r="M174" s="4">
        <f>IFERROR(L174/G174,0)</f>
        <v/>
      </c>
      <c r="N174" s="21" t="n"/>
      <c r="O174" s="21" t="n"/>
      <c r="P174" s="4">
        <f>IFERROR(O174/N174,0)</f>
        <v/>
      </c>
    </row>
    <row r="175">
      <c r="A175" s="23" t="n"/>
      <c r="B175" s="36" t="n"/>
      <c r="C175" s="1">
        <f>C174+1</f>
        <v/>
      </c>
      <c r="D175" s="21" t="n"/>
      <c r="E175" s="39">
        <f>D175+E174+J174</f>
        <v/>
      </c>
      <c r="F175" s="39">
        <f>IF(I174=0,(F174*$G$3+F174)-D174,I174-D174)</f>
        <v/>
      </c>
      <c r="G175" s="39">
        <f>IF(I174=0,0,I174-D174)</f>
        <v/>
      </c>
      <c r="H175" s="39">
        <f>(E175*$G$3)+E175</f>
        <v/>
      </c>
      <c r="I175" s="41" t="n"/>
      <c r="J175" s="39">
        <f>E175*$G$3</f>
        <v/>
      </c>
      <c r="K175" s="39">
        <f>G175*$G$3</f>
        <v/>
      </c>
      <c r="L175" s="40">
        <f>I175-G175</f>
        <v/>
      </c>
      <c r="M175" s="4">
        <f>IFERROR(L175/G175,0)</f>
        <v/>
      </c>
      <c r="N175" s="21" t="n"/>
      <c r="O175" s="21" t="n"/>
      <c r="P175" s="4">
        <f>IFERROR(O175/N175,0)</f>
        <v/>
      </c>
    </row>
    <row r="176">
      <c r="A176" s="23" t="n"/>
      <c r="B176" s="36" t="n"/>
      <c r="C176" s="1">
        <f>C175+1</f>
        <v/>
      </c>
      <c r="D176" s="21" t="n"/>
      <c r="E176" s="39">
        <f>D176+E175+J175</f>
        <v/>
      </c>
      <c r="F176" s="39">
        <f>IF(I175=0,(F175*$G$3+F175)-D175,I175-D175)</f>
        <v/>
      </c>
      <c r="G176" s="39">
        <f>IF(I175=0,0,I175-D175)</f>
        <v/>
      </c>
      <c r="H176" s="39">
        <f>(E176*$G$3)+E176</f>
        <v/>
      </c>
      <c r="I176" s="41" t="n"/>
      <c r="J176" s="39">
        <f>E176*$G$3</f>
        <v/>
      </c>
      <c r="K176" s="39">
        <f>G176*$G$3</f>
        <v/>
      </c>
      <c r="L176" s="40">
        <f>I176-G176</f>
        <v/>
      </c>
      <c r="M176" s="4">
        <f>IFERROR(L176/G176,0)</f>
        <v/>
      </c>
      <c r="N176" s="21" t="n"/>
      <c r="O176" s="21" t="n"/>
      <c r="P176" s="4">
        <f>IFERROR(O176/N176,0)</f>
        <v/>
      </c>
    </row>
    <row r="177">
      <c r="A177" s="23" t="n"/>
      <c r="B177" s="36" t="n"/>
      <c r="C177" s="1">
        <f>C176+1</f>
        <v/>
      </c>
      <c r="D177" s="21" t="n"/>
      <c r="E177" s="39">
        <f>D177+E176+J176</f>
        <v/>
      </c>
      <c r="F177" s="39">
        <f>IF(I176=0,(F176*$G$3+F176)-D176,I176-D176)</f>
        <v/>
      </c>
      <c r="G177" s="39">
        <f>IF(I176=0,0,I176-D176)</f>
        <v/>
      </c>
      <c r="H177" s="39">
        <f>(E177*$G$3)+E177</f>
        <v/>
      </c>
      <c r="I177" s="41" t="n"/>
      <c r="J177" s="39">
        <f>E177*$G$3</f>
        <v/>
      </c>
      <c r="K177" s="39">
        <f>G177*$G$3</f>
        <v/>
      </c>
      <c r="L177" s="40">
        <f>I177-G177</f>
        <v/>
      </c>
      <c r="M177" s="4">
        <f>IFERROR(L177/G177,0)</f>
        <v/>
      </c>
      <c r="N177" s="21" t="n"/>
      <c r="O177" s="21" t="n"/>
      <c r="P177" s="4">
        <f>IFERROR(O177/N177,0)</f>
        <v/>
      </c>
    </row>
    <row r="178">
      <c r="A178" s="23" t="n"/>
      <c r="B178" s="36" t="n"/>
      <c r="C178" s="1">
        <f>C177+1</f>
        <v/>
      </c>
      <c r="D178" s="21" t="n"/>
      <c r="E178" s="39">
        <f>D178+E177+J177</f>
        <v/>
      </c>
      <c r="F178" s="39">
        <f>IF(I177=0,(F177*$G$3+F177)-D177,I177-D177)</f>
        <v/>
      </c>
      <c r="G178" s="39">
        <f>IF(I177=0,0,I177-D177)</f>
        <v/>
      </c>
      <c r="H178" s="39">
        <f>(E178*$G$3)+E178</f>
        <v/>
      </c>
      <c r="I178" s="41" t="n"/>
      <c r="J178" s="39">
        <f>E178*$G$3</f>
        <v/>
      </c>
      <c r="K178" s="39">
        <f>G178*$G$3</f>
        <v/>
      </c>
      <c r="L178" s="40">
        <f>I178-G178</f>
        <v/>
      </c>
      <c r="M178" s="4">
        <f>IFERROR(L178/G178,0)</f>
        <v/>
      </c>
      <c r="N178" s="21" t="n"/>
      <c r="O178" s="21" t="n"/>
      <c r="P178" s="4">
        <f>IFERROR(O178/N178,0)</f>
        <v/>
      </c>
    </row>
    <row r="179">
      <c r="A179" s="23" t="n"/>
      <c r="B179" s="36" t="n"/>
      <c r="C179" s="1">
        <f>C178+1</f>
        <v/>
      </c>
      <c r="D179" s="21" t="n"/>
      <c r="E179" s="39">
        <f>D179+E178+J178</f>
        <v/>
      </c>
      <c r="F179" s="39">
        <f>IF(I178=0,(F178*$G$3+F178)-D178,I178-D178)</f>
        <v/>
      </c>
      <c r="G179" s="39">
        <f>IF(I178=0,0,I178-D178)</f>
        <v/>
      </c>
      <c r="H179" s="39">
        <f>(E179*$G$3)+E179</f>
        <v/>
      </c>
      <c r="I179" s="41" t="n"/>
      <c r="J179" s="39">
        <f>E179*$G$3</f>
        <v/>
      </c>
      <c r="K179" s="39">
        <f>G179*$G$3</f>
        <v/>
      </c>
      <c r="L179" s="40">
        <f>I179-G179</f>
        <v/>
      </c>
      <c r="M179" s="4">
        <f>IFERROR(L179/G179,0)</f>
        <v/>
      </c>
      <c r="N179" s="21" t="n"/>
      <c r="O179" s="21" t="n"/>
      <c r="P179" s="4">
        <f>IFERROR(O179/N179,0)</f>
        <v/>
      </c>
    </row>
    <row r="180">
      <c r="A180" s="23" t="n"/>
      <c r="B180" s="36" t="n"/>
      <c r="C180" s="1">
        <f>C179+1</f>
        <v/>
      </c>
      <c r="D180" s="21" t="n"/>
      <c r="E180" s="39">
        <f>D180+E179+J179</f>
        <v/>
      </c>
      <c r="F180" s="39">
        <f>IF(I179=0,(F179*$G$3+F179)-D179,I179-D179)</f>
        <v/>
      </c>
      <c r="G180" s="39">
        <f>IF(I179=0,0,I179-D179)</f>
        <v/>
      </c>
      <c r="H180" s="39">
        <f>(E180*$G$3)+E180</f>
        <v/>
      </c>
      <c r="I180" s="41" t="n"/>
      <c r="J180" s="39">
        <f>E180*$G$3</f>
        <v/>
      </c>
      <c r="K180" s="39">
        <f>G180*$G$3</f>
        <v/>
      </c>
      <c r="L180" s="40">
        <f>I180-G180</f>
        <v/>
      </c>
      <c r="M180" s="4">
        <f>IFERROR(L180/G180,0)</f>
        <v/>
      </c>
      <c r="N180" s="21" t="n"/>
      <c r="O180" s="21" t="n"/>
      <c r="P180" s="4">
        <f>IFERROR(O180/N180,0)</f>
        <v/>
      </c>
    </row>
    <row r="181">
      <c r="A181" s="23" t="n"/>
      <c r="B181" s="36" t="n"/>
      <c r="C181" s="1">
        <f>C180+1</f>
        <v/>
      </c>
      <c r="D181" s="21" t="n"/>
      <c r="E181" s="39">
        <f>D181+E180+J180</f>
        <v/>
      </c>
      <c r="F181" s="39">
        <f>IF(I180=0,(F180*$G$3+F180)-D180,I180-D180)</f>
        <v/>
      </c>
      <c r="G181" s="39">
        <f>IF(I180=0,0,I180-D180)</f>
        <v/>
      </c>
      <c r="H181" s="39">
        <f>(E181*$G$3)+E181</f>
        <v/>
      </c>
      <c r="I181" s="41" t="n"/>
      <c r="J181" s="39">
        <f>E181*$G$3</f>
        <v/>
      </c>
      <c r="K181" s="39">
        <f>G181*$G$3</f>
        <v/>
      </c>
      <c r="L181" s="40">
        <f>I181-G181</f>
        <v/>
      </c>
      <c r="M181" s="4">
        <f>IFERROR(L181/G181,0)</f>
        <v/>
      </c>
      <c r="N181" s="21" t="n"/>
      <c r="O181" s="21" t="n"/>
      <c r="P181" s="4">
        <f>IFERROR(O181/N181,0)</f>
        <v/>
      </c>
    </row>
    <row r="182">
      <c r="A182" s="23" t="n"/>
      <c r="B182" s="36" t="n"/>
      <c r="C182" s="1">
        <f>C181+1</f>
        <v/>
      </c>
      <c r="D182" s="21" t="n"/>
      <c r="E182" s="39">
        <f>D182+E181+J181</f>
        <v/>
      </c>
      <c r="F182" s="39">
        <f>IF(I181=0,(F181*$G$3+F181)-D181,I181-D181)</f>
        <v/>
      </c>
      <c r="G182" s="39">
        <f>IF(I181=0,0,I181-D181)</f>
        <v/>
      </c>
      <c r="H182" s="39">
        <f>(E182*$G$3)+E182</f>
        <v/>
      </c>
      <c r="I182" s="41" t="n"/>
      <c r="J182" s="39">
        <f>E182*$G$3</f>
        <v/>
      </c>
      <c r="K182" s="39">
        <f>G182*$G$3</f>
        <v/>
      </c>
      <c r="L182" s="40">
        <f>I182-G182</f>
        <v/>
      </c>
      <c r="M182" s="4">
        <f>IFERROR(L182/G182,0)</f>
        <v/>
      </c>
      <c r="N182" s="21" t="n"/>
      <c r="O182" s="21" t="n"/>
      <c r="P182" s="4">
        <f>IFERROR(O182/N182,0)</f>
        <v/>
      </c>
    </row>
    <row r="183">
      <c r="A183" s="23" t="n"/>
      <c r="B183" s="36" t="n"/>
      <c r="C183" s="1">
        <f>C182+1</f>
        <v/>
      </c>
      <c r="D183" s="21" t="n"/>
      <c r="E183" s="39">
        <f>D183+E182+J182</f>
        <v/>
      </c>
      <c r="F183" s="39">
        <f>IF(I182=0,(F182*$G$3+F182)-D182,I182-D182)</f>
        <v/>
      </c>
      <c r="G183" s="39">
        <f>IF(I182=0,0,I182-D182)</f>
        <v/>
      </c>
      <c r="H183" s="39">
        <f>(E183*$G$3)+E183</f>
        <v/>
      </c>
      <c r="I183" s="41" t="n"/>
      <c r="J183" s="39">
        <f>E183*$G$3</f>
        <v/>
      </c>
      <c r="K183" s="39">
        <f>G183*$G$3</f>
        <v/>
      </c>
      <c r="L183" s="40">
        <f>I183-G183</f>
        <v/>
      </c>
      <c r="M183" s="4">
        <f>IFERROR(L183/G183,0)</f>
        <v/>
      </c>
      <c r="N183" s="21" t="n"/>
      <c r="O183" s="21" t="n"/>
      <c r="P183" s="4">
        <f>IFERROR(O183/N183,0)</f>
        <v/>
      </c>
    </row>
    <row r="184">
      <c r="A184" s="23" t="n"/>
      <c r="B184" s="36" t="n"/>
      <c r="C184" s="1">
        <f>C183+1</f>
        <v/>
      </c>
      <c r="D184" s="21" t="n"/>
      <c r="E184" s="39">
        <f>D184+E183+J183</f>
        <v/>
      </c>
      <c r="F184" s="39">
        <f>IF(I183=0,(F183*$G$3+F183)-D183,I183-D183)</f>
        <v/>
      </c>
      <c r="G184" s="39">
        <f>IF(I183=0,0,I183-D183)</f>
        <v/>
      </c>
      <c r="H184" s="39">
        <f>(E184*$G$3)+E184</f>
        <v/>
      </c>
      <c r="I184" s="41" t="n"/>
      <c r="J184" s="39">
        <f>E184*$G$3</f>
        <v/>
      </c>
      <c r="K184" s="39">
        <f>G184*$G$3</f>
        <v/>
      </c>
      <c r="L184" s="40">
        <f>I184-G184</f>
        <v/>
      </c>
      <c r="M184" s="4">
        <f>IFERROR(L184/G184,0)</f>
        <v/>
      </c>
      <c r="N184" s="21" t="n"/>
      <c r="O184" s="21" t="n"/>
      <c r="P184" s="4">
        <f>IFERROR(O184/N184,0)</f>
        <v/>
      </c>
    </row>
    <row r="185">
      <c r="A185" s="23" t="n"/>
      <c r="B185" s="36" t="n"/>
      <c r="C185" s="1">
        <f>C184+1</f>
        <v/>
      </c>
      <c r="D185" s="21" t="n"/>
      <c r="E185" s="39">
        <f>D185+E184+J184</f>
        <v/>
      </c>
      <c r="F185" s="39">
        <f>IF(I184=0,(F184*$G$3+F184)-D184,I184-D184)</f>
        <v/>
      </c>
      <c r="G185" s="39">
        <f>IF(I184=0,0,I184-D184)</f>
        <v/>
      </c>
      <c r="H185" s="39">
        <f>(E185*$G$3)+E185</f>
        <v/>
      </c>
      <c r="I185" s="41" t="n"/>
      <c r="J185" s="39">
        <f>E185*$G$3</f>
        <v/>
      </c>
      <c r="K185" s="39">
        <f>G185*$G$3</f>
        <v/>
      </c>
      <c r="L185" s="40">
        <f>I185-G185</f>
        <v/>
      </c>
      <c r="M185" s="4">
        <f>IFERROR(L185/G185,0)</f>
        <v/>
      </c>
      <c r="N185" s="21" t="n"/>
      <c r="O185" s="21" t="n"/>
      <c r="P185" s="4">
        <f>IFERROR(O185/N185,0)</f>
        <v/>
      </c>
    </row>
    <row r="186">
      <c r="A186" s="23" t="n"/>
      <c r="B186" s="36" t="n"/>
      <c r="C186" s="1">
        <f>C185+1</f>
        <v/>
      </c>
      <c r="D186" s="21" t="n"/>
      <c r="E186" s="39">
        <f>D186+E185+J185</f>
        <v/>
      </c>
      <c r="F186" s="39">
        <f>IF(I185=0,(F185*$G$3+F185)-D185,I185-D185)</f>
        <v/>
      </c>
      <c r="G186" s="39">
        <f>IF(I185=0,0,I185-D185)</f>
        <v/>
      </c>
      <c r="H186" s="39">
        <f>(E186*$G$3)+E186</f>
        <v/>
      </c>
      <c r="I186" s="41" t="n"/>
      <c r="J186" s="39">
        <f>E186*$G$3</f>
        <v/>
      </c>
      <c r="K186" s="39">
        <f>G186*$G$3</f>
        <v/>
      </c>
      <c r="L186" s="40">
        <f>I186-G186</f>
        <v/>
      </c>
      <c r="M186" s="4">
        <f>IFERROR(L186/G186,0)</f>
        <v/>
      </c>
      <c r="N186" s="21" t="n"/>
      <c r="O186" s="21" t="n"/>
      <c r="P186" s="4">
        <f>IFERROR(O186/N186,0)</f>
        <v/>
      </c>
    </row>
    <row r="187">
      <c r="A187" s="23" t="n"/>
      <c r="B187" s="36" t="n"/>
      <c r="C187" s="1">
        <f>C186+1</f>
        <v/>
      </c>
      <c r="D187" s="21" t="n"/>
      <c r="E187" s="39">
        <f>D187+E186+J186</f>
        <v/>
      </c>
      <c r="F187" s="39">
        <f>IF(I186=0,(F186*$G$3+F186)-D186,I186-D186)</f>
        <v/>
      </c>
      <c r="G187" s="39">
        <f>IF(I186=0,0,I186-D186)</f>
        <v/>
      </c>
      <c r="H187" s="39">
        <f>(E187*$G$3)+E187</f>
        <v/>
      </c>
      <c r="I187" s="41" t="n"/>
      <c r="J187" s="39">
        <f>E187*$G$3</f>
        <v/>
      </c>
      <c r="K187" s="39">
        <f>G187*$G$3</f>
        <v/>
      </c>
      <c r="L187" s="40">
        <f>I187-G187</f>
        <v/>
      </c>
      <c r="M187" s="4">
        <f>IFERROR(L187/G187,0)</f>
        <v/>
      </c>
      <c r="N187" s="21" t="n"/>
      <c r="O187" s="21" t="n"/>
      <c r="P187" s="4">
        <f>IFERROR(O187/N187,0)</f>
        <v/>
      </c>
    </row>
    <row r="188">
      <c r="A188" s="23" t="n"/>
      <c r="B188" s="36" t="n"/>
      <c r="C188" s="1">
        <f>C187+1</f>
        <v/>
      </c>
      <c r="D188" s="21" t="n"/>
      <c r="E188" s="39">
        <f>D188+E187+J187</f>
        <v/>
      </c>
      <c r="F188" s="39">
        <f>IF(I187=0,(F187*$G$3+F187)-D187,I187-D187)</f>
        <v/>
      </c>
      <c r="G188" s="39">
        <f>IF(I187=0,0,I187-D187)</f>
        <v/>
      </c>
      <c r="H188" s="39">
        <f>(E188*$G$3)+E188</f>
        <v/>
      </c>
      <c r="I188" s="41" t="n"/>
      <c r="J188" s="39">
        <f>E188*$G$3</f>
        <v/>
      </c>
      <c r="K188" s="39">
        <f>G188*$G$3</f>
        <v/>
      </c>
      <c r="L188" s="40">
        <f>I188-G188</f>
        <v/>
      </c>
      <c r="M188" s="4">
        <f>IFERROR(L188/G188,0)</f>
        <v/>
      </c>
      <c r="N188" s="21" t="n"/>
      <c r="O188" s="21" t="n"/>
      <c r="P188" s="4">
        <f>IFERROR(O188/N188,0)</f>
        <v/>
      </c>
    </row>
    <row r="189">
      <c r="A189" s="23" t="n"/>
      <c r="B189" s="36" t="n"/>
      <c r="C189" s="1">
        <f>C188+1</f>
        <v/>
      </c>
      <c r="D189" s="21" t="n"/>
      <c r="E189" s="39">
        <f>D189+E188+J188</f>
        <v/>
      </c>
      <c r="F189" s="39">
        <f>IF(I188=0,(F188*$G$3+F188)-D188,I188-D188)</f>
        <v/>
      </c>
      <c r="G189" s="39">
        <f>IF(I188=0,0,I188-D188)</f>
        <v/>
      </c>
      <c r="H189" s="39">
        <f>(E189*$G$3)+E189</f>
        <v/>
      </c>
      <c r="I189" s="41" t="n"/>
      <c r="J189" s="39">
        <f>E189*$G$3</f>
        <v/>
      </c>
      <c r="K189" s="39">
        <f>G189*$G$3</f>
        <v/>
      </c>
      <c r="L189" s="40">
        <f>I189-G189</f>
        <v/>
      </c>
      <c r="M189" s="4">
        <f>IFERROR(L189/G189,0)</f>
        <v/>
      </c>
      <c r="N189" s="21" t="n"/>
      <c r="O189" s="21" t="n"/>
      <c r="P189" s="4">
        <f>IFERROR(O189/N189,0)</f>
        <v/>
      </c>
    </row>
    <row r="190">
      <c r="A190" s="23" t="n"/>
      <c r="B190" s="36" t="n"/>
      <c r="C190" s="1">
        <f>C189+1</f>
        <v/>
      </c>
      <c r="D190" s="21" t="n"/>
      <c r="E190" s="39">
        <f>D190+E189+J189</f>
        <v/>
      </c>
      <c r="F190" s="39">
        <f>IF(I189=0,(F189*$G$3+F189)-D189,I189-D189)</f>
        <v/>
      </c>
      <c r="G190" s="39">
        <f>IF(I189=0,0,I189-D189)</f>
        <v/>
      </c>
      <c r="H190" s="39">
        <f>(E190*$G$3)+E190</f>
        <v/>
      </c>
      <c r="I190" s="41" t="n"/>
      <c r="J190" s="39">
        <f>E190*$G$3</f>
        <v/>
      </c>
      <c r="K190" s="39">
        <f>G190*$G$3</f>
        <v/>
      </c>
      <c r="L190" s="40">
        <f>I190-G190</f>
        <v/>
      </c>
      <c r="M190" s="4">
        <f>IFERROR(L190/G190,0)</f>
        <v/>
      </c>
      <c r="N190" s="21" t="n"/>
      <c r="O190" s="21" t="n"/>
      <c r="P190" s="4">
        <f>IFERROR(O190/N190,0)</f>
        <v/>
      </c>
    </row>
    <row r="191">
      <c r="A191" s="23" t="n"/>
      <c r="B191" s="36" t="n"/>
      <c r="C191" s="1">
        <f>C190+1</f>
        <v/>
      </c>
      <c r="D191" s="21" t="n"/>
      <c r="E191" s="39">
        <f>D191+E190+J190</f>
        <v/>
      </c>
      <c r="F191" s="39">
        <f>IF(I190=0,(F190*$G$3+F190)-D190,I190-D190)</f>
        <v/>
      </c>
      <c r="G191" s="39">
        <f>IF(I190=0,0,I190-D190)</f>
        <v/>
      </c>
      <c r="H191" s="39">
        <f>(E191*$G$3)+E191</f>
        <v/>
      </c>
      <c r="I191" s="41" t="n"/>
      <c r="J191" s="39">
        <f>E191*$G$3</f>
        <v/>
      </c>
      <c r="K191" s="39">
        <f>G191*$G$3</f>
        <v/>
      </c>
      <c r="L191" s="40">
        <f>I191-G191</f>
        <v/>
      </c>
      <c r="M191" s="4">
        <f>IFERROR(L191/G191,0)</f>
        <v/>
      </c>
      <c r="N191" s="21" t="n"/>
      <c r="O191" s="21" t="n"/>
      <c r="P191" s="4">
        <f>IFERROR(O191/N191,0)</f>
        <v/>
      </c>
    </row>
    <row r="192">
      <c r="A192" s="23" t="n"/>
      <c r="B192" s="36" t="n"/>
      <c r="C192" s="1">
        <f>C191+1</f>
        <v/>
      </c>
      <c r="D192" s="21" t="n"/>
      <c r="E192" s="39">
        <f>D192+E191+J191</f>
        <v/>
      </c>
      <c r="F192" s="39">
        <f>IF(I191=0,(F191*$G$3+F191)-D191,I191-D191)</f>
        <v/>
      </c>
      <c r="G192" s="39">
        <f>IF(I191=0,0,I191-D191)</f>
        <v/>
      </c>
      <c r="H192" s="39">
        <f>(E192*$G$3)+E192</f>
        <v/>
      </c>
      <c r="I192" s="41" t="n"/>
      <c r="J192" s="39">
        <f>E192*$G$3</f>
        <v/>
      </c>
      <c r="K192" s="39">
        <f>G192*$G$3</f>
        <v/>
      </c>
      <c r="L192" s="40">
        <f>I192-G192</f>
        <v/>
      </c>
      <c r="M192" s="4">
        <f>IFERROR(L192/G192,0)</f>
        <v/>
      </c>
      <c r="N192" s="21" t="n"/>
      <c r="O192" s="21" t="n"/>
      <c r="P192" s="4">
        <f>IFERROR(O192/N192,0)</f>
        <v/>
      </c>
    </row>
    <row r="193">
      <c r="A193" s="23" t="n"/>
      <c r="B193" s="36" t="n"/>
      <c r="C193" s="1">
        <f>C192+1</f>
        <v/>
      </c>
      <c r="D193" s="21" t="n"/>
      <c r="E193" s="39">
        <f>D193+E192+J192</f>
        <v/>
      </c>
      <c r="F193" s="39">
        <f>IF(I192=0,(F192*$G$3+F192)-D192,I192-D192)</f>
        <v/>
      </c>
      <c r="G193" s="39">
        <f>IF(I192=0,0,I192-D192)</f>
        <v/>
      </c>
      <c r="H193" s="39">
        <f>(E193*$G$3)+E193</f>
        <v/>
      </c>
      <c r="I193" s="41" t="n"/>
      <c r="J193" s="39">
        <f>E193*$G$3</f>
        <v/>
      </c>
      <c r="K193" s="39">
        <f>G193*$G$3</f>
        <v/>
      </c>
      <c r="L193" s="40">
        <f>I193-G193</f>
        <v/>
      </c>
      <c r="M193" s="4">
        <f>IFERROR(L193/G193,0)</f>
        <v/>
      </c>
      <c r="N193" s="21" t="n"/>
      <c r="O193" s="21" t="n"/>
      <c r="P193" s="4">
        <f>IFERROR(O193/N193,0)</f>
        <v/>
      </c>
    </row>
    <row r="194">
      <c r="A194" s="23" t="n"/>
      <c r="B194" s="36" t="n"/>
      <c r="C194" s="1">
        <f>C193+1</f>
        <v/>
      </c>
      <c r="D194" s="21" t="n"/>
      <c r="E194" s="39">
        <f>D194+E193+J193</f>
        <v/>
      </c>
      <c r="F194" s="39">
        <f>IF(I193=0,(F193*$G$3+F193)-D193,I193-D193)</f>
        <v/>
      </c>
      <c r="G194" s="39">
        <f>IF(I193=0,0,I193-D193)</f>
        <v/>
      </c>
      <c r="H194" s="39">
        <f>(E194*$G$3)+E194</f>
        <v/>
      </c>
      <c r="I194" s="41" t="n"/>
      <c r="J194" s="39">
        <f>E194*$G$3</f>
        <v/>
      </c>
      <c r="K194" s="39">
        <f>G194*$G$3</f>
        <v/>
      </c>
      <c r="L194" s="40">
        <f>I194-G194</f>
        <v/>
      </c>
      <c r="M194" s="4">
        <f>IFERROR(L194/G194,0)</f>
        <v/>
      </c>
      <c r="N194" s="21" t="n"/>
      <c r="O194" s="21" t="n"/>
      <c r="P194" s="4">
        <f>IFERROR(O194/N194,0)</f>
        <v/>
      </c>
    </row>
    <row r="195">
      <c r="A195" s="23" t="n"/>
      <c r="B195" s="36" t="n"/>
      <c r="C195" s="1">
        <f>C194+1</f>
        <v/>
      </c>
      <c r="D195" s="21" t="n"/>
      <c r="E195" s="39">
        <f>D195+E194+J194</f>
        <v/>
      </c>
      <c r="F195" s="39">
        <f>IF(I194=0,(F194*$G$3+F194)-D194,I194-D194)</f>
        <v/>
      </c>
      <c r="G195" s="39">
        <f>IF(I194=0,0,I194-D194)</f>
        <v/>
      </c>
      <c r="H195" s="39">
        <f>(E195*$G$3)+E195</f>
        <v/>
      </c>
      <c r="I195" s="41" t="n"/>
      <c r="J195" s="39">
        <f>E195*$G$3</f>
        <v/>
      </c>
      <c r="K195" s="39">
        <f>G195*$G$3</f>
        <v/>
      </c>
      <c r="L195" s="40">
        <f>I195-G195</f>
        <v/>
      </c>
      <c r="M195" s="4">
        <f>IFERROR(L195/G195,0)</f>
        <v/>
      </c>
      <c r="N195" s="21" t="n"/>
      <c r="O195" s="21" t="n"/>
      <c r="P195" s="4">
        <f>IFERROR(O195/N195,0)</f>
        <v/>
      </c>
    </row>
    <row r="196">
      <c r="A196" s="23" t="n"/>
      <c r="B196" s="36" t="n"/>
      <c r="C196" s="1">
        <f>C195+1</f>
        <v/>
      </c>
      <c r="D196" s="21" t="n"/>
      <c r="E196" s="39">
        <f>D196+E195+J195</f>
        <v/>
      </c>
      <c r="F196" s="39">
        <f>IF(I195=0,(F195*$G$3+F195)-D195,I195-D195)</f>
        <v/>
      </c>
      <c r="G196" s="39">
        <f>IF(I195=0,0,I195-D195)</f>
        <v/>
      </c>
      <c r="H196" s="39">
        <f>(E196*$G$3)+E196</f>
        <v/>
      </c>
      <c r="I196" s="41" t="n"/>
      <c r="J196" s="39">
        <f>E196*$G$3</f>
        <v/>
      </c>
      <c r="K196" s="39">
        <f>G196*$G$3</f>
        <v/>
      </c>
      <c r="L196" s="40">
        <f>I196-G196</f>
        <v/>
      </c>
      <c r="M196" s="4">
        <f>IFERROR(L196/G196,0)</f>
        <v/>
      </c>
      <c r="N196" s="21" t="n"/>
      <c r="O196" s="21" t="n"/>
      <c r="P196" s="4">
        <f>IFERROR(O196/N196,0)</f>
        <v/>
      </c>
    </row>
    <row r="197">
      <c r="A197" s="23" t="n"/>
      <c r="B197" s="36" t="n"/>
      <c r="C197" s="1">
        <f>C196+1</f>
        <v/>
      </c>
      <c r="D197" s="21" t="n"/>
      <c r="E197" s="39">
        <f>D197+E196+J196</f>
        <v/>
      </c>
      <c r="F197" s="39">
        <f>IF(I196=0,(F196*$G$3+F196)-D196,I196-D196)</f>
        <v/>
      </c>
      <c r="G197" s="39">
        <f>IF(I196=0,0,I196-D196)</f>
        <v/>
      </c>
      <c r="H197" s="39">
        <f>(E197*$G$3)+E197</f>
        <v/>
      </c>
      <c r="I197" s="41" t="n"/>
      <c r="J197" s="39">
        <f>E197*$G$3</f>
        <v/>
      </c>
      <c r="K197" s="39">
        <f>G197*$G$3</f>
        <v/>
      </c>
      <c r="L197" s="40">
        <f>I197-G197</f>
        <v/>
      </c>
      <c r="M197" s="4">
        <f>IFERROR(L197/G197,0)</f>
        <v/>
      </c>
      <c r="N197" s="21" t="n"/>
      <c r="O197" s="21" t="n"/>
      <c r="P197" s="4">
        <f>IFERROR(O197/N197,0)</f>
        <v/>
      </c>
    </row>
    <row r="198">
      <c r="A198" s="23" t="n"/>
      <c r="B198" s="36" t="n"/>
      <c r="C198" s="1">
        <f>C197+1</f>
        <v/>
      </c>
      <c r="D198" s="21" t="n"/>
      <c r="E198" s="39">
        <f>D198+E197+J197</f>
        <v/>
      </c>
      <c r="F198" s="39">
        <f>IF(I197=0,(F197*$G$3+F197)-D197,I197-D197)</f>
        <v/>
      </c>
      <c r="G198" s="39">
        <f>IF(I197=0,0,I197-D197)</f>
        <v/>
      </c>
      <c r="H198" s="39">
        <f>(E198*$G$3)+E198</f>
        <v/>
      </c>
      <c r="I198" s="41" t="n"/>
      <c r="J198" s="39">
        <f>E198*$G$3</f>
        <v/>
      </c>
      <c r="K198" s="39">
        <f>G198*$G$3</f>
        <v/>
      </c>
      <c r="L198" s="40">
        <f>I198-G198</f>
        <v/>
      </c>
      <c r="M198" s="4">
        <f>IFERROR(L198/G198,0)</f>
        <v/>
      </c>
      <c r="N198" s="21" t="n"/>
      <c r="O198" s="21" t="n"/>
      <c r="P198" s="4">
        <f>IFERROR(O198/N198,0)</f>
        <v/>
      </c>
    </row>
    <row r="199">
      <c r="A199" s="23" t="n"/>
      <c r="B199" s="36" t="n"/>
      <c r="C199" s="1">
        <f>C198+1</f>
        <v/>
      </c>
      <c r="D199" s="21" t="n"/>
      <c r="E199" s="39">
        <f>D199+E198+J198</f>
        <v/>
      </c>
      <c r="F199" s="39">
        <f>IF(I198=0,(F198*$G$3+F198)-D198,I198-D198)</f>
        <v/>
      </c>
      <c r="G199" s="39">
        <f>IF(I198=0,0,I198-D198)</f>
        <v/>
      </c>
      <c r="H199" s="39">
        <f>(E199*$G$3)+E199</f>
        <v/>
      </c>
      <c r="I199" s="41" t="n"/>
      <c r="J199" s="39">
        <f>E199*$G$3</f>
        <v/>
      </c>
      <c r="K199" s="39">
        <f>G199*$G$3</f>
        <v/>
      </c>
      <c r="L199" s="40">
        <f>I199-G199</f>
        <v/>
      </c>
      <c r="M199" s="4">
        <f>IFERROR(L199/G199,0)</f>
        <v/>
      </c>
      <c r="N199" s="21" t="n"/>
      <c r="O199" s="21" t="n"/>
      <c r="P199" s="4">
        <f>IFERROR(O199/N199,0)</f>
        <v/>
      </c>
    </row>
    <row r="200">
      <c r="A200" s="23" t="n"/>
      <c r="B200" s="36" t="n"/>
      <c r="C200" s="1">
        <f>C199+1</f>
        <v/>
      </c>
      <c r="D200" s="21" t="n"/>
      <c r="E200" s="39">
        <f>D200+E199+J199</f>
        <v/>
      </c>
      <c r="F200" s="39">
        <f>IF(I199=0,(F199*$G$3+F199)-D199,I199-D199)</f>
        <v/>
      </c>
      <c r="G200" s="39">
        <f>IF(I199=0,0,I199-D199)</f>
        <v/>
      </c>
      <c r="H200" s="39">
        <f>(E200*$G$3)+E200</f>
        <v/>
      </c>
      <c r="I200" s="41" t="n"/>
      <c r="J200" s="39">
        <f>E200*$G$3</f>
        <v/>
      </c>
      <c r="K200" s="39">
        <f>G200*$G$3</f>
        <v/>
      </c>
      <c r="L200" s="40">
        <f>I200-G200</f>
        <v/>
      </c>
      <c r="M200" s="4">
        <f>IFERROR(L200/G200,0)</f>
        <v/>
      </c>
      <c r="N200" s="21" t="n"/>
      <c r="O200" s="21" t="n"/>
      <c r="P200" s="4">
        <f>IFERROR(O200/N200,0)</f>
        <v/>
      </c>
    </row>
    <row r="201">
      <c r="A201" s="23" t="n"/>
      <c r="B201" s="36" t="n"/>
      <c r="C201" s="1">
        <f>C200+1</f>
        <v/>
      </c>
      <c r="D201" s="21" t="n"/>
      <c r="E201" s="39">
        <f>D201+E200+J200</f>
        <v/>
      </c>
      <c r="F201" s="39">
        <f>IF(I200=0,(F200*$G$3+F200)-D200,I200-D200)</f>
        <v/>
      </c>
      <c r="G201" s="39">
        <f>IF(I200=0,0,I200-D200)</f>
        <v/>
      </c>
      <c r="H201" s="39">
        <f>(E201*$G$3)+E201</f>
        <v/>
      </c>
      <c r="I201" s="41" t="n"/>
      <c r="J201" s="39">
        <f>E201*$G$3</f>
        <v/>
      </c>
      <c r="K201" s="39">
        <f>G201*$G$3</f>
        <v/>
      </c>
      <c r="L201" s="40">
        <f>I201-G201</f>
        <v/>
      </c>
      <c r="M201" s="4">
        <f>IFERROR(L201/G201,0)</f>
        <v/>
      </c>
      <c r="N201" s="21" t="n"/>
      <c r="O201" s="21" t="n"/>
      <c r="P201" s="4">
        <f>IFERROR(O201/N201,0)</f>
        <v/>
      </c>
    </row>
    <row r="202">
      <c r="A202" s="23" t="n"/>
      <c r="B202" s="36" t="n"/>
      <c r="C202" s="1">
        <f>C201+1</f>
        <v/>
      </c>
      <c r="D202" s="21" t="n"/>
      <c r="E202" s="39">
        <f>D202+E201+J201</f>
        <v/>
      </c>
      <c r="F202" s="39">
        <f>IF(I201=0,(F201*$G$3+F201)-D201,I201-D201)</f>
        <v/>
      </c>
      <c r="G202" s="39">
        <f>IF(I201=0,0,I201-D201)</f>
        <v/>
      </c>
      <c r="H202" s="39">
        <f>(E202*$G$3)+E202</f>
        <v/>
      </c>
      <c r="I202" s="41" t="n"/>
      <c r="J202" s="39">
        <f>E202*$G$3</f>
        <v/>
      </c>
      <c r="K202" s="39">
        <f>G202*$G$3</f>
        <v/>
      </c>
      <c r="L202" s="40">
        <f>I202-G202</f>
        <v/>
      </c>
      <c r="M202" s="4">
        <f>IFERROR(L202/G202,0)</f>
        <v/>
      </c>
      <c r="N202" s="21" t="n"/>
      <c r="O202" s="21" t="n"/>
      <c r="P202" s="4">
        <f>IFERROR(O202/N202,0)</f>
        <v/>
      </c>
    </row>
    <row r="203">
      <c r="A203" s="23" t="n"/>
      <c r="B203" s="36" t="n"/>
      <c r="C203" s="1">
        <f>C202+1</f>
        <v/>
      </c>
      <c r="D203" s="21" t="n"/>
      <c r="E203" s="39">
        <f>D203+E202+J202</f>
        <v/>
      </c>
      <c r="F203" s="39">
        <f>IF(I202=0,(F202*$G$3+F202)-D202,I202-D202)</f>
        <v/>
      </c>
      <c r="G203" s="39">
        <f>IF(I202=0,0,I202-D202)</f>
        <v/>
      </c>
      <c r="H203" s="39">
        <f>(E203*$G$3)+E203</f>
        <v/>
      </c>
      <c r="I203" s="41" t="n"/>
      <c r="J203" s="39">
        <f>E203*$G$3</f>
        <v/>
      </c>
      <c r="K203" s="39">
        <f>G203*$G$3</f>
        <v/>
      </c>
      <c r="L203" s="40">
        <f>I203-G203</f>
        <v/>
      </c>
      <c r="M203" s="4">
        <f>IFERROR(L203/G203,0)</f>
        <v/>
      </c>
      <c r="N203" s="21" t="n"/>
      <c r="O203" s="21" t="n"/>
      <c r="P203" s="4">
        <f>IFERROR(O203/N203,0)</f>
        <v/>
      </c>
    </row>
    <row r="204">
      <c r="A204" s="23" t="n"/>
      <c r="B204" s="36" t="n"/>
      <c r="C204" s="1">
        <f>C203+1</f>
        <v/>
      </c>
      <c r="D204" s="21" t="n"/>
      <c r="E204" s="39">
        <f>D204+E203+J203</f>
        <v/>
      </c>
      <c r="F204" s="39">
        <f>IF(I203=0,(F203*$G$3+F203)-D203,I203-D203)</f>
        <v/>
      </c>
      <c r="G204" s="39">
        <f>IF(I203=0,0,I203-D203)</f>
        <v/>
      </c>
      <c r="H204" s="39">
        <f>(E204*$G$3)+E204</f>
        <v/>
      </c>
      <c r="I204" s="41" t="n"/>
      <c r="J204" s="39">
        <f>E204*$G$3</f>
        <v/>
      </c>
      <c r="K204" s="39">
        <f>G204*$G$3</f>
        <v/>
      </c>
      <c r="L204" s="40">
        <f>I204-G204</f>
        <v/>
      </c>
      <c r="M204" s="4">
        <f>IFERROR(L204/G204,0)</f>
        <v/>
      </c>
      <c r="N204" s="21" t="n"/>
      <c r="O204" s="21" t="n"/>
      <c r="P204" s="4">
        <f>IFERROR(O204/N204,0)</f>
        <v/>
      </c>
    </row>
    <row r="205">
      <c r="A205" s="23" t="n"/>
      <c r="B205" s="36" t="n"/>
      <c r="C205" s="1">
        <f>C204+1</f>
        <v/>
      </c>
      <c r="D205" s="21" t="n"/>
      <c r="E205" s="39">
        <f>D205+E204+J204</f>
        <v/>
      </c>
      <c r="F205" s="39">
        <f>IF(I204=0,(F204*$G$3+F204)-D204,I204-D204)</f>
        <v/>
      </c>
      <c r="G205" s="39">
        <f>IF(I204=0,0,I204-D204)</f>
        <v/>
      </c>
      <c r="H205" s="39">
        <f>(E205*$G$3)+E205</f>
        <v/>
      </c>
      <c r="I205" s="41" t="n"/>
      <c r="J205" s="39">
        <f>E205*$G$3</f>
        <v/>
      </c>
      <c r="K205" s="39">
        <f>G205*$G$3</f>
        <v/>
      </c>
      <c r="L205" s="40">
        <f>I205-G205</f>
        <v/>
      </c>
      <c r="M205" s="4">
        <f>IFERROR(L205/G205,0)</f>
        <v/>
      </c>
      <c r="N205" s="21" t="n"/>
      <c r="O205" s="21" t="n"/>
      <c r="P205" s="4">
        <f>IFERROR(O205/N205,0)</f>
        <v/>
      </c>
    </row>
    <row r="206">
      <c r="A206" s="23" t="n"/>
      <c r="B206" s="36" t="n"/>
      <c r="C206" s="1">
        <f>C205+1</f>
        <v/>
      </c>
      <c r="D206" s="21" t="n"/>
      <c r="E206" s="39">
        <f>D206+E205+J205</f>
        <v/>
      </c>
      <c r="F206" s="39">
        <f>IF(I205=0,(F205*$G$3+F205)-D205,I205-D205)</f>
        <v/>
      </c>
      <c r="G206" s="39">
        <f>IF(I205=0,0,I205-D205)</f>
        <v/>
      </c>
      <c r="H206" s="39">
        <f>(E206*$G$3)+E206</f>
        <v/>
      </c>
      <c r="I206" s="41" t="n"/>
      <c r="J206" s="39">
        <f>E206*$G$3</f>
        <v/>
      </c>
      <c r="K206" s="39">
        <f>G206*$G$3</f>
        <v/>
      </c>
      <c r="L206" s="40">
        <f>I206-G206</f>
        <v/>
      </c>
      <c r="M206" s="4">
        <f>IFERROR(L206/G206,0)</f>
        <v/>
      </c>
      <c r="N206" s="21" t="n"/>
      <c r="O206" s="21" t="n"/>
      <c r="P206" s="4">
        <f>IFERROR(O206/N206,0)</f>
        <v/>
      </c>
    </row>
    <row r="207">
      <c r="A207" s="23" t="n"/>
      <c r="B207" s="36" t="n"/>
      <c r="C207" s="1">
        <f>C206+1</f>
        <v/>
      </c>
      <c r="D207" s="21" t="n"/>
      <c r="E207" s="39">
        <f>D207+E206+J206</f>
        <v/>
      </c>
      <c r="F207" s="39">
        <f>IF(I206=0,(F206*$G$3+F206)-D206,I206-D206)</f>
        <v/>
      </c>
      <c r="G207" s="39">
        <f>IF(I206=0,0,I206-D206)</f>
        <v/>
      </c>
      <c r="H207" s="39">
        <f>(E207*$G$3)+E207</f>
        <v/>
      </c>
      <c r="I207" s="41" t="n"/>
      <c r="J207" s="39">
        <f>E207*$G$3</f>
        <v/>
      </c>
      <c r="K207" s="39">
        <f>G207*$G$3</f>
        <v/>
      </c>
      <c r="L207" s="40">
        <f>I207-G207</f>
        <v/>
      </c>
      <c r="M207" s="4">
        <f>IFERROR(L207/G207,0)</f>
        <v/>
      </c>
      <c r="N207" s="21" t="n"/>
      <c r="O207" s="21" t="n"/>
      <c r="P207" s="4">
        <f>IFERROR(O207/N207,0)</f>
        <v/>
      </c>
    </row>
    <row r="208">
      <c r="A208" s="23" t="n"/>
      <c r="B208" s="36" t="n"/>
      <c r="C208" s="1">
        <f>C207+1</f>
        <v/>
      </c>
      <c r="D208" s="21" t="n"/>
      <c r="E208" s="39">
        <f>D208+E207+J207</f>
        <v/>
      </c>
      <c r="F208" s="39">
        <f>IF(I207=0,(F207*$G$3+F207)-D207,I207-D207)</f>
        <v/>
      </c>
      <c r="G208" s="39">
        <f>IF(I207=0,0,I207-D207)</f>
        <v/>
      </c>
      <c r="H208" s="39">
        <f>(E208*$G$3)+E208</f>
        <v/>
      </c>
      <c r="I208" s="41" t="n"/>
      <c r="J208" s="39">
        <f>E208*$G$3</f>
        <v/>
      </c>
      <c r="K208" s="39">
        <f>G208*$G$3</f>
        <v/>
      </c>
      <c r="L208" s="40">
        <f>I208-G208</f>
        <v/>
      </c>
      <c r="M208" s="4">
        <f>IFERROR(L208/G208,0)</f>
        <v/>
      </c>
      <c r="N208" s="21" t="n"/>
      <c r="O208" s="21" t="n"/>
      <c r="P208" s="4">
        <f>IFERROR(O208/N208,0)</f>
        <v/>
      </c>
    </row>
    <row r="209">
      <c r="A209" s="23" t="n"/>
      <c r="B209" s="36" t="n"/>
      <c r="C209" s="1">
        <f>C208+1</f>
        <v/>
      </c>
      <c r="D209" s="21" t="n"/>
      <c r="E209" s="39">
        <f>D209+E208+J208</f>
        <v/>
      </c>
      <c r="F209" s="39">
        <f>IF(I208=0,(F208*$G$3+F208)-D208,I208-D208)</f>
        <v/>
      </c>
      <c r="G209" s="39">
        <f>IF(I208=0,0,I208-D208)</f>
        <v/>
      </c>
      <c r="H209" s="39">
        <f>(E209*$G$3)+E209</f>
        <v/>
      </c>
      <c r="I209" s="41" t="n"/>
      <c r="J209" s="39">
        <f>E209*$G$3</f>
        <v/>
      </c>
      <c r="K209" s="39">
        <f>G209*$G$3</f>
        <v/>
      </c>
      <c r="L209" s="40">
        <f>I209-G209</f>
        <v/>
      </c>
      <c r="M209" s="4">
        <f>IFERROR(L209/G209,0)</f>
        <v/>
      </c>
      <c r="N209" s="21" t="n"/>
      <c r="O209" s="21" t="n"/>
      <c r="P209" s="4">
        <f>IFERROR(O209/N209,0)</f>
        <v/>
      </c>
    </row>
    <row r="210">
      <c r="A210" s="23" t="n"/>
      <c r="B210" s="36" t="n"/>
      <c r="C210" s="1">
        <f>C209+1</f>
        <v/>
      </c>
      <c r="D210" s="21" t="n"/>
      <c r="E210" s="39">
        <f>D210+E209+J209</f>
        <v/>
      </c>
      <c r="F210" s="39">
        <f>IF(I209=0,(F209*$G$3+F209)-D209,I209-D209)</f>
        <v/>
      </c>
      <c r="G210" s="39">
        <f>IF(I209=0,0,I209-D209)</f>
        <v/>
      </c>
      <c r="H210" s="39">
        <f>(E210*$G$3)+E210</f>
        <v/>
      </c>
      <c r="I210" s="41" t="n"/>
      <c r="J210" s="39">
        <f>E210*$G$3</f>
        <v/>
      </c>
      <c r="K210" s="39">
        <f>G210*$G$3</f>
        <v/>
      </c>
      <c r="L210" s="40">
        <f>I210-G210</f>
        <v/>
      </c>
      <c r="M210" s="4">
        <f>IFERROR(L210/G210,0)</f>
        <v/>
      </c>
      <c r="N210" s="21" t="n"/>
      <c r="O210" s="21" t="n"/>
      <c r="P210" s="4">
        <f>IFERROR(O210/N210,0)</f>
        <v/>
      </c>
    </row>
    <row r="211">
      <c r="A211" s="23" t="n"/>
      <c r="B211" s="36" t="n"/>
      <c r="C211" s="1">
        <f>C210+1</f>
        <v/>
      </c>
      <c r="D211" s="21" t="n"/>
      <c r="E211" s="39">
        <f>D211+E210+J210</f>
        <v/>
      </c>
      <c r="F211" s="39">
        <f>IF(I210=0,(F210*$G$3+F210)-D210,I210-D210)</f>
        <v/>
      </c>
      <c r="G211" s="39">
        <f>IF(I210=0,0,I210-D210)</f>
        <v/>
      </c>
      <c r="H211" s="39">
        <f>(E211*$G$3)+E211</f>
        <v/>
      </c>
      <c r="I211" s="41" t="n"/>
      <c r="J211" s="39">
        <f>E211*$G$3</f>
        <v/>
      </c>
      <c r="K211" s="39">
        <f>G211*$G$3</f>
        <v/>
      </c>
      <c r="L211" s="40">
        <f>I211-G211</f>
        <v/>
      </c>
      <c r="M211" s="4">
        <f>IFERROR(L211/G211,0)</f>
        <v/>
      </c>
      <c r="N211" s="21" t="n"/>
      <c r="O211" s="21" t="n"/>
      <c r="P211" s="4">
        <f>IFERROR(O211/N211,0)</f>
        <v/>
      </c>
    </row>
    <row r="212">
      <c r="A212" s="23" t="n"/>
      <c r="B212" s="36" t="n"/>
      <c r="C212" s="1">
        <f>C211+1</f>
        <v/>
      </c>
      <c r="D212" s="21" t="n"/>
      <c r="E212" s="39">
        <f>D212+E211+J211</f>
        <v/>
      </c>
      <c r="F212" s="39">
        <f>IF(I211=0,(F211*$G$3+F211)-D211,I211-D211)</f>
        <v/>
      </c>
      <c r="G212" s="39">
        <f>IF(I211=0,0,I211-D211)</f>
        <v/>
      </c>
      <c r="H212" s="39">
        <f>(E212*$G$3)+E212</f>
        <v/>
      </c>
      <c r="I212" s="41" t="n"/>
      <c r="J212" s="39">
        <f>E212*$G$3</f>
        <v/>
      </c>
      <c r="K212" s="39">
        <f>G212*$G$3</f>
        <v/>
      </c>
      <c r="L212" s="40">
        <f>I212-G212</f>
        <v/>
      </c>
      <c r="M212" s="4">
        <f>IFERROR(L212/G212,0)</f>
        <v/>
      </c>
      <c r="N212" s="21" t="n"/>
      <c r="O212" s="21" t="n"/>
      <c r="P212" s="4">
        <f>IFERROR(O212/N212,0)</f>
        <v/>
      </c>
    </row>
    <row r="213">
      <c r="A213" s="23" t="n"/>
      <c r="B213" s="36" t="n"/>
      <c r="C213" s="1">
        <f>C212+1</f>
        <v/>
      </c>
      <c r="D213" s="21" t="n"/>
      <c r="E213" s="39">
        <f>D213+E212+J212</f>
        <v/>
      </c>
      <c r="F213" s="39">
        <f>IF(I212=0,(F212*$G$3+F212)-D212,I212-D212)</f>
        <v/>
      </c>
      <c r="G213" s="39">
        <f>IF(I212=0,0,I212-D212)</f>
        <v/>
      </c>
      <c r="H213" s="39">
        <f>(E213*$G$3)+E213</f>
        <v/>
      </c>
      <c r="I213" s="41" t="n"/>
      <c r="J213" s="39">
        <f>E213*$G$3</f>
        <v/>
      </c>
      <c r="K213" s="39">
        <f>G213*$G$3</f>
        <v/>
      </c>
      <c r="L213" s="40">
        <f>I213-G213</f>
        <v/>
      </c>
      <c r="M213" s="4">
        <f>IFERROR(L213/G213,0)</f>
        <v/>
      </c>
      <c r="N213" s="21" t="n"/>
      <c r="O213" s="21" t="n"/>
      <c r="P213" s="4">
        <f>IFERROR(O213/N213,0)</f>
        <v/>
      </c>
    </row>
    <row r="214">
      <c r="A214" s="23" t="n"/>
      <c r="B214" s="36" t="n"/>
      <c r="C214" s="1">
        <f>C213+1</f>
        <v/>
      </c>
      <c r="D214" s="21" t="n"/>
      <c r="E214" s="39">
        <f>D214+E213+J213</f>
        <v/>
      </c>
      <c r="F214" s="39">
        <f>IF(I213=0,(F213*$G$3+F213)-D213,I213-D213)</f>
        <v/>
      </c>
      <c r="G214" s="39">
        <f>IF(I213=0,0,I213-D213)</f>
        <v/>
      </c>
      <c r="H214" s="39">
        <f>(E214*$G$3)+E214</f>
        <v/>
      </c>
      <c r="I214" s="41" t="n"/>
      <c r="J214" s="39">
        <f>E214*$G$3</f>
        <v/>
      </c>
      <c r="K214" s="39">
        <f>G214*$G$3</f>
        <v/>
      </c>
      <c r="L214" s="40">
        <f>I214-G214</f>
        <v/>
      </c>
      <c r="M214" s="4">
        <f>IFERROR(L214/G214,0)</f>
        <v/>
      </c>
      <c r="N214" s="21" t="n"/>
      <c r="O214" s="21" t="n"/>
      <c r="P214" s="4">
        <f>IFERROR(O214/N214,0)</f>
        <v/>
      </c>
    </row>
    <row r="215">
      <c r="A215" s="23" t="n"/>
      <c r="B215" s="36" t="n"/>
      <c r="C215" s="1">
        <f>C214+1</f>
        <v/>
      </c>
      <c r="D215" s="21" t="n"/>
      <c r="E215" s="39">
        <f>D215+E214+J214</f>
        <v/>
      </c>
      <c r="F215" s="39">
        <f>IF(I214=0,(F214*$G$3+F214)-D214,I214-D214)</f>
        <v/>
      </c>
      <c r="G215" s="39">
        <f>IF(I214=0,0,I214-D214)</f>
        <v/>
      </c>
      <c r="H215" s="39">
        <f>(E215*$G$3)+E215</f>
        <v/>
      </c>
      <c r="I215" s="41" t="n"/>
      <c r="J215" s="39">
        <f>E215*$G$3</f>
        <v/>
      </c>
      <c r="K215" s="39">
        <f>G215*$G$3</f>
        <v/>
      </c>
      <c r="L215" s="40">
        <f>I215-G215</f>
        <v/>
      </c>
      <c r="M215" s="4">
        <f>IFERROR(L215/G215,0)</f>
        <v/>
      </c>
      <c r="N215" s="21" t="n"/>
      <c r="O215" s="21" t="n"/>
      <c r="P215" s="4">
        <f>IFERROR(O215/N215,0)</f>
        <v/>
      </c>
    </row>
    <row r="216">
      <c r="A216" s="23" t="n"/>
      <c r="B216" s="36" t="n"/>
      <c r="C216" s="1">
        <f>C215+1</f>
        <v/>
      </c>
      <c r="D216" s="21" t="n"/>
      <c r="E216" s="39">
        <f>D216+E215+J215</f>
        <v/>
      </c>
      <c r="F216" s="39">
        <f>IF(I215=0,(F215*$G$3+F215)-D215,I215-D215)</f>
        <v/>
      </c>
      <c r="G216" s="39">
        <f>IF(I215=0,0,I215-D215)</f>
        <v/>
      </c>
      <c r="H216" s="39">
        <f>(E216*$G$3)+E216</f>
        <v/>
      </c>
      <c r="I216" s="41" t="n"/>
      <c r="J216" s="39">
        <f>E216*$G$3</f>
        <v/>
      </c>
      <c r="K216" s="39">
        <f>G216*$G$3</f>
        <v/>
      </c>
      <c r="L216" s="40">
        <f>I216-G216</f>
        <v/>
      </c>
      <c r="M216" s="4">
        <f>IFERROR(L216/G216,0)</f>
        <v/>
      </c>
      <c r="N216" s="21" t="n"/>
      <c r="O216" s="21" t="n"/>
      <c r="P216" s="4">
        <f>IFERROR(O216/N216,0)</f>
        <v/>
      </c>
    </row>
    <row r="217">
      <c r="A217" s="23" t="n"/>
      <c r="B217" s="36" t="n"/>
      <c r="C217" s="1">
        <f>C216+1</f>
        <v/>
      </c>
      <c r="D217" s="21" t="n"/>
      <c r="E217" s="39">
        <f>D217+E216+J216</f>
        <v/>
      </c>
      <c r="F217" s="39">
        <f>IF(I216=0,(F216*$G$3+F216)-D216,I216-D216)</f>
        <v/>
      </c>
      <c r="G217" s="39">
        <f>IF(I216=0,0,I216-D216)</f>
        <v/>
      </c>
      <c r="H217" s="39">
        <f>(E217*$G$3)+E217</f>
        <v/>
      </c>
      <c r="I217" s="41" t="n"/>
      <c r="J217" s="39">
        <f>E217*$G$3</f>
        <v/>
      </c>
      <c r="K217" s="39">
        <f>G217*$G$3</f>
        <v/>
      </c>
      <c r="L217" s="40">
        <f>I217-G217</f>
        <v/>
      </c>
      <c r="M217" s="4">
        <f>IFERROR(L217/G217,0)</f>
        <v/>
      </c>
      <c r="N217" s="21" t="n"/>
      <c r="O217" s="21" t="n"/>
      <c r="P217" s="4">
        <f>IFERROR(O217/N217,0)</f>
        <v/>
      </c>
    </row>
    <row r="218">
      <c r="A218" s="23" t="n"/>
      <c r="B218" s="36" t="n"/>
      <c r="C218" s="1">
        <f>C217+1</f>
        <v/>
      </c>
      <c r="D218" s="21" t="n"/>
      <c r="E218" s="39">
        <f>D218+E217+J217</f>
        <v/>
      </c>
      <c r="F218" s="39">
        <f>IF(I217=0,(F217*$G$3+F217)-D217,I217-D217)</f>
        <v/>
      </c>
      <c r="G218" s="39">
        <f>IF(I217=0,0,I217-D217)</f>
        <v/>
      </c>
      <c r="H218" s="39">
        <f>(E218*$G$3)+E218</f>
        <v/>
      </c>
      <c r="I218" s="41" t="n"/>
      <c r="J218" s="39">
        <f>E218*$G$3</f>
        <v/>
      </c>
      <c r="K218" s="39">
        <f>G218*$G$3</f>
        <v/>
      </c>
      <c r="L218" s="40">
        <f>I218-G218</f>
        <v/>
      </c>
      <c r="M218" s="4">
        <f>IFERROR(L218/G218,0)</f>
        <v/>
      </c>
      <c r="N218" s="21" t="n"/>
      <c r="O218" s="21" t="n"/>
      <c r="P218" s="4">
        <f>IFERROR(O218/N218,0)</f>
        <v/>
      </c>
    </row>
    <row r="219">
      <c r="A219" s="23" t="n"/>
      <c r="B219" s="36" t="n"/>
      <c r="C219" s="1">
        <f>C218+1</f>
        <v/>
      </c>
      <c r="D219" s="21" t="n"/>
      <c r="E219" s="39">
        <f>D219+E218+J218</f>
        <v/>
      </c>
      <c r="F219" s="39">
        <f>IF(I218=0,(F218*$G$3+F218)-D218,I218-D218)</f>
        <v/>
      </c>
      <c r="G219" s="39">
        <f>IF(I218=0,0,I218-D218)</f>
        <v/>
      </c>
      <c r="H219" s="39">
        <f>(E219*$G$3)+E219</f>
        <v/>
      </c>
      <c r="I219" s="41" t="n"/>
      <c r="J219" s="39">
        <f>E219*$G$3</f>
        <v/>
      </c>
      <c r="K219" s="39">
        <f>G219*$G$3</f>
        <v/>
      </c>
      <c r="L219" s="40">
        <f>I219-G219</f>
        <v/>
      </c>
      <c r="M219" s="4">
        <f>IFERROR(L219/G219,0)</f>
        <v/>
      </c>
      <c r="N219" s="21" t="n"/>
      <c r="O219" s="21" t="n"/>
      <c r="P219" s="4">
        <f>IFERROR(O219/N219,0)</f>
        <v/>
      </c>
    </row>
    <row r="220">
      <c r="A220" s="23" t="n"/>
      <c r="B220" s="36" t="n"/>
      <c r="C220" s="1">
        <f>C219+1</f>
        <v/>
      </c>
      <c r="D220" s="21" t="n"/>
      <c r="E220" s="39">
        <f>D220+E219+J219</f>
        <v/>
      </c>
      <c r="F220" s="39">
        <f>IF(I219=0,(F219*$G$3+F219)-D219,I219-D219)</f>
        <v/>
      </c>
      <c r="G220" s="39">
        <f>IF(I219=0,0,I219-D219)</f>
        <v/>
      </c>
      <c r="H220" s="39">
        <f>(E220*$G$3)+E220</f>
        <v/>
      </c>
      <c r="I220" s="41" t="n"/>
      <c r="J220" s="39">
        <f>E220*$G$3</f>
        <v/>
      </c>
      <c r="K220" s="39">
        <f>G220*$G$3</f>
        <v/>
      </c>
      <c r="L220" s="40">
        <f>I220-G220</f>
        <v/>
      </c>
      <c r="M220" s="4">
        <f>IFERROR(L220/G220,0)</f>
        <v/>
      </c>
      <c r="N220" s="21" t="n"/>
      <c r="O220" s="21" t="n"/>
      <c r="P220" s="4">
        <f>IFERROR(O220/N220,0)</f>
        <v/>
      </c>
    </row>
    <row r="221">
      <c r="A221" s="23" t="n"/>
      <c r="B221" s="36" t="n"/>
      <c r="C221" s="1">
        <f>C220+1</f>
        <v/>
      </c>
      <c r="D221" s="21" t="n"/>
      <c r="E221" s="39">
        <f>D221+E220+J220</f>
        <v/>
      </c>
      <c r="F221" s="39">
        <f>IF(I220=0,(F220*$G$3+F220)-D220,I220-D220)</f>
        <v/>
      </c>
      <c r="G221" s="39">
        <f>IF(I220=0,0,I220-D220)</f>
        <v/>
      </c>
      <c r="H221" s="39">
        <f>(E221*$G$3)+E221</f>
        <v/>
      </c>
      <c r="I221" s="41" t="n"/>
      <c r="J221" s="39">
        <f>E221*$G$3</f>
        <v/>
      </c>
      <c r="K221" s="39">
        <f>G221*$G$3</f>
        <v/>
      </c>
      <c r="L221" s="40">
        <f>I221-G221</f>
        <v/>
      </c>
      <c r="M221" s="4">
        <f>IFERROR(L221/G221,0)</f>
        <v/>
      </c>
      <c r="N221" s="21" t="n"/>
      <c r="O221" s="21" t="n"/>
      <c r="P221" s="4">
        <f>IFERROR(O221/N221,0)</f>
        <v/>
      </c>
    </row>
    <row r="222">
      <c r="A222" s="23" t="n"/>
      <c r="B222" s="36" t="n"/>
      <c r="C222" s="1">
        <f>C221+1</f>
        <v/>
      </c>
      <c r="D222" s="21" t="n"/>
      <c r="E222" s="39">
        <f>D222+E221+J221</f>
        <v/>
      </c>
      <c r="F222" s="39">
        <f>IF(I221=0,(F221*$G$3+F221)-D221,I221-D221)</f>
        <v/>
      </c>
      <c r="G222" s="39">
        <f>IF(I221=0,0,I221-D221)</f>
        <v/>
      </c>
      <c r="H222" s="39">
        <f>(E222*$G$3)+E222</f>
        <v/>
      </c>
      <c r="I222" s="41" t="n"/>
      <c r="J222" s="39">
        <f>E222*$G$3</f>
        <v/>
      </c>
      <c r="K222" s="39">
        <f>G222*$G$3</f>
        <v/>
      </c>
      <c r="L222" s="40">
        <f>I222-G222</f>
        <v/>
      </c>
      <c r="M222" s="4">
        <f>IFERROR(L222/G222,0)</f>
        <v/>
      </c>
      <c r="N222" s="21" t="n"/>
      <c r="O222" s="21" t="n"/>
      <c r="P222" s="4">
        <f>IFERROR(O222/N222,0)</f>
        <v/>
      </c>
    </row>
    <row r="223">
      <c r="A223" s="23" t="n"/>
      <c r="B223" s="36" t="n"/>
      <c r="C223" s="1">
        <f>C222+1</f>
        <v/>
      </c>
      <c r="D223" s="21" t="n"/>
      <c r="E223" s="39">
        <f>D223+E222+J222</f>
        <v/>
      </c>
      <c r="F223" s="39">
        <f>IF(I222=0,(F222*$G$3+F222)-D222,I222-D222)</f>
        <v/>
      </c>
      <c r="G223" s="39">
        <f>IF(I222=0,0,I222-D222)</f>
        <v/>
      </c>
      <c r="H223" s="39">
        <f>(E223*$G$3)+E223</f>
        <v/>
      </c>
      <c r="I223" s="41" t="n"/>
      <c r="J223" s="39">
        <f>E223*$G$3</f>
        <v/>
      </c>
      <c r="K223" s="39">
        <f>G223*$G$3</f>
        <v/>
      </c>
      <c r="L223" s="40">
        <f>I223-G223</f>
        <v/>
      </c>
      <c r="M223" s="4">
        <f>IFERROR(L223/G223,0)</f>
        <v/>
      </c>
      <c r="N223" s="21" t="n"/>
      <c r="O223" s="21" t="n"/>
      <c r="P223" s="4">
        <f>IFERROR(O223/N223,0)</f>
        <v/>
      </c>
    </row>
    <row r="224">
      <c r="A224" s="23" t="n"/>
      <c r="B224" s="36" t="n"/>
      <c r="C224" s="1">
        <f>C223+1</f>
        <v/>
      </c>
      <c r="D224" s="21" t="n"/>
      <c r="E224" s="39">
        <f>D224+E223+J223</f>
        <v/>
      </c>
      <c r="F224" s="39">
        <f>IF(I223=0,(F223*$G$3+F223)-D223,I223-D223)</f>
        <v/>
      </c>
      <c r="G224" s="39">
        <f>IF(I223=0,0,I223-D223)</f>
        <v/>
      </c>
      <c r="H224" s="39">
        <f>(E224*$G$3)+E224</f>
        <v/>
      </c>
      <c r="I224" s="41" t="n"/>
      <c r="J224" s="39">
        <f>E224*$G$3</f>
        <v/>
      </c>
      <c r="K224" s="39">
        <f>G224*$G$3</f>
        <v/>
      </c>
      <c r="L224" s="40">
        <f>I224-G224</f>
        <v/>
      </c>
      <c r="M224" s="4">
        <f>IFERROR(L224/G224,0)</f>
        <v/>
      </c>
      <c r="N224" s="21" t="n"/>
      <c r="O224" s="21" t="n"/>
      <c r="P224" s="4">
        <f>IFERROR(O224/N224,0)</f>
        <v/>
      </c>
    </row>
    <row r="225">
      <c r="A225" s="23" t="n"/>
      <c r="B225" s="36" t="n"/>
      <c r="C225" s="1">
        <f>C224+1</f>
        <v/>
      </c>
      <c r="D225" s="21" t="n"/>
      <c r="E225" s="39">
        <f>D225+E224+J224</f>
        <v/>
      </c>
      <c r="F225" s="39">
        <f>IF(I224=0,(F224*$G$3+F224)-D224,I224-D224)</f>
        <v/>
      </c>
      <c r="G225" s="39">
        <f>IF(I224=0,0,I224-D224)</f>
        <v/>
      </c>
      <c r="H225" s="39">
        <f>(E225*$G$3)+E225</f>
        <v/>
      </c>
      <c r="I225" s="41" t="n"/>
      <c r="J225" s="39">
        <f>E225*$G$3</f>
        <v/>
      </c>
      <c r="K225" s="39">
        <f>G225*$G$3</f>
        <v/>
      </c>
      <c r="L225" s="40">
        <f>I225-G225</f>
        <v/>
      </c>
      <c r="M225" s="4">
        <f>IFERROR(L225/G225,0)</f>
        <v/>
      </c>
      <c r="N225" s="21" t="n"/>
      <c r="O225" s="21" t="n"/>
      <c r="P225" s="4">
        <f>IFERROR(O225/N225,0)</f>
        <v/>
      </c>
    </row>
    <row r="226">
      <c r="A226" s="23" t="n"/>
      <c r="B226" s="36" t="n"/>
      <c r="C226" s="1">
        <f>C225+1</f>
        <v/>
      </c>
      <c r="D226" s="21" t="n"/>
      <c r="E226" s="39">
        <f>D226+E225+J225</f>
        <v/>
      </c>
      <c r="F226" s="39">
        <f>IF(I225=0,(F225*$G$3+F225)-D225,I225-D225)</f>
        <v/>
      </c>
      <c r="G226" s="39">
        <f>IF(I225=0,0,I225-D225)</f>
        <v/>
      </c>
      <c r="H226" s="39">
        <f>(E226*$G$3)+E226</f>
        <v/>
      </c>
      <c r="I226" s="41" t="n"/>
      <c r="J226" s="39">
        <f>E226*$G$3</f>
        <v/>
      </c>
      <c r="K226" s="39">
        <f>G226*$G$3</f>
        <v/>
      </c>
      <c r="L226" s="40">
        <f>I226-G226</f>
        <v/>
      </c>
      <c r="M226" s="4">
        <f>IFERROR(L226/G226,0)</f>
        <v/>
      </c>
      <c r="N226" s="21" t="n"/>
      <c r="O226" s="21" t="n"/>
      <c r="P226" s="4">
        <f>IFERROR(O226/N226,0)</f>
        <v/>
      </c>
    </row>
    <row r="227">
      <c r="A227" s="23" t="n"/>
      <c r="B227" s="36" t="n"/>
      <c r="C227" s="1">
        <f>C226+1</f>
        <v/>
      </c>
      <c r="D227" s="21" t="n"/>
      <c r="E227" s="42">
        <f>D227+E226+J226</f>
        <v/>
      </c>
      <c r="F227" s="39">
        <f>IF(I226=0,(F226*$G$3+F226)-D226,I226-D226)</f>
        <v/>
      </c>
      <c r="G227" s="39">
        <f>IF(I226=0,0,I226-D226)</f>
        <v/>
      </c>
      <c r="H227" s="39">
        <f>(E227*$G$3)+E227</f>
        <v/>
      </c>
      <c r="I227" s="41" t="n"/>
      <c r="J227" s="39">
        <f>E227*$G$3</f>
        <v/>
      </c>
      <c r="K227" s="39">
        <f>G227*$G$3</f>
        <v/>
      </c>
      <c r="L227" s="40">
        <f>I227-G227</f>
        <v/>
      </c>
      <c r="M227" s="4">
        <f>IFERROR(L227/G227,0)</f>
        <v/>
      </c>
      <c r="N227" s="21" t="n"/>
      <c r="O227" s="21" t="n"/>
      <c r="P227" s="4">
        <f>IFERROR(O227/N227,0)</f>
        <v/>
      </c>
    </row>
    <row r="228">
      <c r="A228" s="23" t="n"/>
      <c r="B228" s="36" t="n"/>
      <c r="C228" s="1">
        <f>C227+1</f>
        <v/>
      </c>
      <c r="D228" s="21" t="n"/>
      <c r="E228" s="39">
        <f>D228+E227+J227</f>
        <v/>
      </c>
      <c r="F228" s="39">
        <f>IF(I227=0,(F227*$G$3+F227)-D227,I227-D227)</f>
        <v/>
      </c>
      <c r="G228" s="39">
        <f>IF(I227=0,0,I227-D227)</f>
        <v/>
      </c>
      <c r="H228" s="39">
        <f>(E228*$G$3)+E228</f>
        <v/>
      </c>
      <c r="I228" s="41" t="n"/>
      <c r="J228" s="39">
        <f>E228*$G$3</f>
        <v/>
      </c>
      <c r="K228" s="39">
        <f>G228*$G$3</f>
        <v/>
      </c>
      <c r="L228" s="40">
        <f>I228-G228</f>
        <v/>
      </c>
      <c r="M228" s="4">
        <f>IFERROR(L228/G228,0)</f>
        <v/>
      </c>
      <c r="N228" s="21" t="n"/>
      <c r="O228" s="21" t="n"/>
      <c r="P228" s="4">
        <f>IFERROR(O228/N228,0)</f>
        <v/>
      </c>
    </row>
    <row r="229">
      <c r="A229" s="23" t="n"/>
      <c r="B229" s="36" t="n"/>
      <c r="C229" s="1">
        <f>C228+1</f>
        <v/>
      </c>
      <c r="D229" s="21" t="n"/>
      <c r="E229" s="39">
        <f>D229+E228+J228</f>
        <v/>
      </c>
      <c r="F229" s="39">
        <f>IF(I228=0,(F228*$G$3+F228)-D228,I228-D228)</f>
        <v/>
      </c>
      <c r="G229" s="39">
        <f>IF(I228=0,0,I228-D228)</f>
        <v/>
      </c>
      <c r="H229" s="39">
        <f>(E229*$G$3)+E229</f>
        <v/>
      </c>
      <c r="I229" s="41" t="n"/>
      <c r="J229" s="39">
        <f>E229*$G$3</f>
        <v/>
      </c>
      <c r="K229" s="39">
        <f>G229*$G$3</f>
        <v/>
      </c>
      <c r="L229" s="40">
        <f>I229-G229</f>
        <v/>
      </c>
      <c r="M229" s="4">
        <f>IFERROR(L229/G229,0)</f>
        <v/>
      </c>
      <c r="N229" s="21" t="n"/>
      <c r="O229" s="21" t="n"/>
      <c r="P229" s="4">
        <f>IFERROR(O229/N229,0)</f>
        <v/>
      </c>
    </row>
    <row r="230">
      <c r="A230" s="23" t="n"/>
      <c r="B230" s="36" t="n"/>
      <c r="C230" s="1">
        <f>C229+1</f>
        <v/>
      </c>
      <c r="D230" s="21" t="n"/>
      <c r="E230" s="39">
        <f>D230+E229+J229</f>
        <v/>
      </c>
      <c r="F230" s="39">
        <f>IF(I229=0,(F229*$G$3+F229)-D229,I229-D229)</f>
        <v/>
      </c>
      <c r="G230" s="39">
        <f>IF(I229=0,0,I229-D229)</f>
        <v/>
      </c>
      <c r="H230" s="39">
        <f>(E230*$G$3)+E230</f>
        <v/>
      </c>
      <c r="I230" s="41" t="n"/>
      <c r="J230" s="39">
        <f>E230*$G$3</f>
        <v/>
      </c>
      <c r="K230" s="39">
        <f>G230*$G$3</f>
        <v/>
      </c>
      <c r="L230" s="40">
        <f>I230-G230</f>
        <v/>
      </c>
      <c r="M230" s="4">
        <f>IFERROR(L230/G230,0)</f>
        <v/>
      </c>
      <c r="N230" s="21" t="n"/>
      <c r="O230" s="21" t="n"/>
      <c r="P230" s="4">
        <f>IFERROR(O230/N230,0)</f>
        <v/>
      </c>
    </row>
    <row r="231">
      <c r="A231" s="23" t="n"/>
      <c r="B231" s="36" t="n"/>
      <c r="C231" s="1">
        <f>C230+1</f>
        <v/>
      </c>
      <c r="D231" s="21" t="n"/>
      <c r="E231" s="39">
        <f>D231+E230+J230</f>
        <v/>
      </c>
      <c r="F231" s="39">
        <f>IF(I230=0,(F230*$G$3+F230)-D230,I230-D230)</f>
        <v/>
      </c>
      <c r="G231" s="39">
        <f>IF(I230=0,0,I230-D230)</f>
        <v/>
      </c>
      <c r="H231" s="39">
        <f>(E231*$G$3)+E231</f>
        <v/>
      </c>
      <c r="I231" s="41" t="n"/>
      <c r="J231" s="39">
        <f>E231*$G$3</f>
        <v/>
      </c>
      <c r="K231" s="39">
        <f>G231*$G$3</f>
        <v/>
      </c>
      <c r="L231" s="40">
        <f>I231-G231</f>
        <v/>
      </c>
      <c r="M231" s="4">
        <f>IFERROR(L231/G231,0)</f>
        <v/>
      </c>
      <c r="N231" s="21" t="n"/>
      <c r="O231" s="21" t="n"/>
      <c r="P231" s="4">
        <f>IFERROR(O231/N231,0)</f>
        <v/>
      </c>
    </row>
    <row r="232">
      <c r="A232" s="23" t="n"/>
      <c r="B232" s="36" t="n"/>
      <c r="C232" s="1">
        <f>C231+1</f>
        <v/>
      </c>
      <c r="D232" s="21" t="n"/>
      <c r="E232" s="39">
        <f>D232+E231+J231</f>
        <v/>
      </c>
      <c r="F232" s="39">
        <f>IF(I231=0,(F231*$G$3+F231)-D231,I231-D231)</f>
        <v/>
      </c>
      <c r="G232" s="39">
        <f>IF(I231=0,0,I231-D231)</f>
        <v/>
      </c>
      <c r="H232" s="39">
        <f>(E232*$G$3)+E232</f>
        <v/>
      </c>
      <c r="I232" s="41" t="n"/>
      <c r="J232" s="39">
        <f>E232*$G$3</f>
        <v/>
      </c>
      <c r="K232" s="39">
        <f>G232*$G$3</f>
        <v/>
      </c>
      <c r="L232" s="40">
        <f>I232-G232</f>
        <v/>
      </c>
      <c r="M232" s="4">
        <f>IFERROR(L232/G232,0)</f>
        <v/>
      </c>
      <c r="N232" s="21" t="n"/>
      <c r="O232" s="21" t="n"/>
      <c r="P232" s="4">
        <f>IFERROR(O232/N232,0)</f>
        <v/>
      </c>
    </row>
    <row r="233">
      <c r="A233" s="23" t="n"/>
      <c r="B233" s="36" t="n"/>
      <c r="C233" s="1">
        <f>C232+1</f>
        <v/>
      </c>
      <c r="D233" s="21" t="n"/>
      <c r="E233" s="39">
        <f>D233+E232+J232</f>
        <v/>
      </c>
      <c r="F233" s="39">
        <f>IF(I232=0,(F232*$G$3+F232)-D232,I232-D232)</f>
        <v/>
      </c>
      <c r="G233" s="39">
        <f>IF(I232=0,0,I232-D232)</f>
        <v/>
      </c>
      <c r="H233" s="39">
        <f>(E233*$G$3)+E233</f>
        <v/>
      </c>
      <c r="I233" s="41" t="n"/>
      <c r="J233" s="39">
        <f>E233*$G$3</f>
        <v/>
      </c>
      <c r="K233" s="39">
        <f>G233*$G$3</f>
        <v/>
      </c>
      <c r="L233" s="40">
        <f>I233-G233</f>
        <v/>
      </c>
      <c r="M233" s="4">
        <f>IFERROR(L233/G233,0)</f>
        <v/>
      </c>
      <c r="N233" s="21" t="n"/>
      <c r="O233" s="21" t="n"/>
      <c r="P233" s="4">
        <f>IFERROR(O233/N233,0)</f>
        <v/>
      </c>
    </row>
    <row r="234">
      <c r="A234" s="23" t="n"/>
      <c r="B234" s="36" t="n"/>
      <c r="C234" s="1">
        <f>C233+1</f>
        <v/>
      </c>
      <c r="D234" s="21" t="n"/>
      <c r="E234" s="39">
        <f>D234+E233+J233</f>
        <v/>
      </c>
      <c r="F234" s="39">
        <f>IF(I233=0,(F233*$G$3+F233)-D233,I233-D233)</f>
        <v/>
      </c>
      <c r="G234" s="39">
        <f>IF(I233=0,0,I233-D233)</f>
        <v/>
      </c>
      <c r="H234" s="39">
        <f>(E234*$G$3)+E234</f>
        <v/>
      </c>
      <c r="I234" s="41" t="n"/>
      <c r="J234" s="39">
        <f>E234*$G$3</f>
        <v/>
      </c>
      <c r="K234" s="39">
        <f>G234*$G$3</f>
        <v/>
      </c>
      <c r="L234" s="40">
        <f>I234-G234</f>
        <v/>
      </c>
      <c r="M234" s="4">
        <f>IFERROR(L234/G234,0)</f>
        <v/>
      </c>
      <c r="N234" s="21" t="n"/>
      <c r="O234" s="21" t="n"/>
      <c r="P234" s="4">
        <f>IFERROR(O234/N234,0)</f>
        <v/>
      </c>
    </row>
    <row r="235">
      <c r="A235" s="23" t="n"/>
      <c r="B235" s="36" t="n"/>
      <c r="C235" s="1">
        <f>C234+1</f>
        <v/>
      </c>
      <c r="D235" s="21" t="n"/>
      <c r="E235" s="39">
        <f>D235+E234+J234</f>
        <v/>
      </c>
      <c r="F235" s="39">
        <f>IF(I234=0,(F234*$G$3+F234)-D234,I234-D234)</f>
        <v/>
      </c>
      <c r="G235" s="39">
        <f>IF(I234=0,0,I234-D234)</f>
        <v/>
      </c>
      <c r="H235" s="39">
        <f>(E235*$G$3)+E235</f>
        <v/>
      </c>
      <c r="I235" s="41" t="n"/>
      <c r="J235" s="39">
        <f>E235*$G$3</f>
        <v/>
      </c>
      <c r="K235" s="39">
        <f>G235*$G$3</f>
        <v/>
      </c>
      <c r="L235" s="40">
        <f>I235-G235</f>
        <v/>
      </c>
      <c r="M235" s="4">
        <f>IFERROR(L235/G235,0)</f>
        <v/>
      </c>
      <c r="N235" s="21" t="n"/>
      <c r="O235" s="21" t="n"/>
      <c r="P235" s="4">
        <f>IFERROR(O235/N235,0)</f>
        <v/>
      </c>
    </row>
    <row r="236">
      <c r="A236" s="23" t="n"/>
      <c r="B236" s="36" t="n"/>
      <c r="C236" s="1">
        <f>C235+1</f>
        <v/>
      </c>
      <c r="D236" s="21" t="n"/>
      <c r="E236" s="39">
        <f>D236+E235+J235</f>
        <v/>
      </c>
      <c r="F236" s="39">
        <f>IF(I235=0,(F235*$G$3+F235)-D235,I235-D235)</f>
        <v/>
      </c>
      <c r="G236" s="39">
        <f>IF(I235=0,0,I235-D235)</f>
        <v/>
      </c>
      <c r="H236" s="39">
        <f>(E236*$G$3)+E236</f>
        <v/>
      </c>
      <c r="I236" s="41" t="n"/>
      <c r="J236" s="39">
        <f>E236*$G$3</f>
        <v/>
      </c>
      <c r="K236" s="39">
        <f>G236*$G$3</f>
        <v/>
      </c>
      <c r="L236" s="40">
        <f>I236-G236</f>
        <v/>
      </c>
      <c r="M236" s="4">
        <f>IFERROR(L236/G236,0)</f>
        <v/>
      </c>
      <c r="N236" s="21" t="n"/>
      <c r="O236" s="21" t="n"/>
      <c r="P236" s="4">
        <f>IFERROR(O236/N236,0)</f>
        <v/>
      </c>
    </row>
    <row r="237">
      <c r="A237" s="23" t="n"/>
      <c r="B237" s="36" t="n"/>
      <c r="C237" s="1">
        <f>C236+1</f>
        <v/>
      </c>
      <c r="D237" s="21" t="n"/>
      <c r="E237" s="39">
        <f>D237+E236+J236</f>
        <v/>
      </c>
      <c r="F237" s="39">
        <f>IF(I236=0,(F236*$G$3+F236)-D236,I236-D236)</f>
        <v/>
      </c>
      <c r="G237" s="39">
        <f>IF(I236=0,0,I236-D236)</f>
        <v/>
      </c>
      <c r="H237" s="39">
        <f>(E237*$G$3)+E237</f>
        <v/>
      </c>
      <c r="I237" s="41" t="n"/>
      <c r="J237" s="39">
        <f>E237*$G$3</f>
        <v/>
      </c>
      <c r="K237" s="39">
        <f>G237*$G$3</f>
        <v/>
      </c>
      <c r="L237" s="40">
        <f>I237-G237</f>
        <v/>
      </c>
      <c r="M237" s="4">
        <f>IFERROR(L237/G237,0)</f>
        <v/>
      </c>
      <c r="N237" s="21" t="n"/>
      <c r="O237" s="21" t="n"/>
      <c r="P237" s="4">
        <f>IFERROR(O237/N237,0)</f>
        <v/>
      </c>
    </row>
    <row r="238">
      <c r="A238" s="23" t="n"/>
      <c r="B238" s="36" t="n"/>
      <c r="C238" s="1">
        <f>C237+1</f>
        <v/>
      </c>
      <c r="D238" s="21" t="n"/>
      <c r="E238" s="39">
        <f>D238+E237+J237</f>
        <v/>
      </c>
      <c r="F238" s="39">
        <f>IF(I237=0,(F237*$G$3+F237)-D237,I237-D237)</f>
        <v/>
      </c>
      <c r="G238" s="39">
        <f>IF(I237=0,0,I237-D237)</f>
        <v/>
      </c>
      <c r="H238" s="39">
        <f>(E238*$G$3)+E238</f>
        <v/>
      </c>
      <c r="I238" s="41" t="n"/>
      <c r="J238" s="39">
        <f>E238*$G$3</f>
        <v/>
      </c>
      <c r="K238" s="39">
        <f>G238*$G$3</f>
        <v/>
      </c>
      <c r="L238" s="40">
        <f>I238-G238</f>
        <v/>
      </c>
      <c r="M238" s="4">
        <f>IFERROR(L238/G238,0)</f>
        <v/>
      </c>
      <c r="N238" s="21" t="n"/>
      <c r="O238" s="21" t="n"/>
      <c r="P238" s="4">
        <f>IFERROR(O238/N238,0)</f>
        <v/>
      </c>
    </row>
    <row r="239">
      <c r="A239" s="23" t="n"/>
      <c r="B239" s="36" t="n"/>
      <c r="C239" s="1">
        <f>C238+1</f>
        <v/>
      </c>
      <c r="D239" s="21" t="n"/>
      <c r="E239" s="39">
        <f>D239+E238+J238</f>
        <v/>
      </c>
      <c r="F239" s="39">
        <f>IF(I238=0,(F238*$G$3+F238)-D238,I238-D238)</f>
        <v/>
      </c>
      <c r="G239" s="39">
        <f>IF(I238=0,0,I238-D238)</f>
        <v/>
      </c>
      <c r="H239" s="39">
        <f>(E239*$G$3)+E239</f>
        <v/>
      </c>
      <c r="I239" s="41" t="n"/>
      <c r="J239" s="39">
        <f>E239*$G$3</f>
        <v/>
      </c>
      <c r="K239" s="39">
        <f>G239*$G$3</f>
        <v/>
      </c>
      <c r="L239" s="40">
        <f>I239-G239</f>
        <v/>
      </c>
      <c r="M239" s="4">
        <f>IFERROR(L239/G239,0)</f>
        <v/>
      </c>
      <c r="N239" s="21" t="n"/>
      <c r="O239" s="21" t="n"/>
      <c r="P239" s="4">
        <f>IFERROR(O239/N239,0)</f>
        <v/>
      </c>
    </row>
    <row r="240">
      <c r="A240" s="23" t="n"/>
      <c r="B240" s="36" t="n"/>
      <c r="C240" s="1">
        <f>C239+1</f>
        <v/>
      </c>
      <c r="D240" s="21" t="n"/>
      <c r="E240" s="39">
        <f>D240+E239+J239</f>
        <v/>
      </c>
      <c r="F240" s="39">
        <f>IF(I239=0,(F239*$G$3+F239)-D239,I239-D239)</f>
        <v/>
      </c>
      <c r="G240" s="39">
        <f>IF(I239=0,0,I239-D239)</f>
        <v/>
      </c>
      <c r="H240" s="39">
        <f>(E240*$G$3)+E240</f>
        <v/>
      </c>
      <c r="I240" s="41" t="n"/>
      <c r="J240" s="39">
        <f>E240*$G$3</f>
        <v/>
      </c>
      <c r="K240" s="39">
        <f>G240*$G$3</f>
        <v/>
      </c>
      <c r="L240" s="40">
        <f>I240-G240</f>
        <v/>
      </c>
      <c r="M240" s="4">
        <f>IFERROR(L240/G240,0)</f>
        <v/>
      </c>
      <c r="N240" s="21" t="n"/>
      <c r="O240" s="21" t="n"/>
      <c r="P240" s="4">
        <f>IFERROR(O240/N240,0)</f>
        <v/>
      </c>
    </row>
    <row r="241">
      <c r="A241" s="23" t="n"/>
      <c r="B241" s="36" t="n"/>
      <c r="C241" s="1">
        <f>C240+1</f>
        <v/>
      </c>
      <c r="D241" s="21" t="n"/>
      <c r="E241" s="39">
        <f>D241+E240+J240</f>
        <v/>
      </c>
      <c r="F241" s="39">
        <f>IF(I240=0,(F240*$G$3+F240)-D240,I240-D240)</f>
        <v/>
      </c>
      <c r="G241" s="39">
        <f>IF(I240=0,0,I240-D240)</f>
        <v/>
      </c>
      <c r="H241" s="39">
        <f>(E241*$G$3)+E241</f>
        <v/>
      </c>
      <c r="I241" s="41" t="n"/>
      <c r="J241" s="39">
        <f>E241*$G$3</f>
        <v/>
      </c>
      <c r="K241" s="39">
        <f>G241*$G$3</f>
        <v/>
      </c>
      <c r="L241" s="40">
        <f>I241-G241</f>
        <v/>
      </c>
      <c r="M241" s="4">
        <f>IFERROR(L241/G241,0)</f>
        <v/>
      </c>
      <c r="N241" s="21" t="n"/>
      <c r="O241" s="21" t="n"/>
      <c r="P241" s="4">
        <f>IFERROR(O241/N241,0)</f>
        <v/>
      </c>
    </row>
    <row r="242">
      <c r="A242" s="23" t="n"/>
      <c r="B242" s="36" t="n"/>
      <c r="C242" s="1">
        <f>C241+1</f>
        <v/>
      </c>
      <c r="D242" s="21" t="n"/>
      <c r="E242" s="39">
        <f>D242+E241+J241</f>
        <v/>
      </c>
      <c r="F242" s="39">
        <f>IF(I241=0,(F241*$G$3+F241)-D241,I241-D241)</f>
        <v/>
      </c>
      <c r="G242" s="39">
        <f>IF(I241=0,0,I241-D241)</f>
        <v/>
      </c>
      <c r="H242" s="39">
        <f>(E242*$G$3)+E242</f>
        <v/>
      </c>
      <c r="I242" s="41" t="n"/>
      <c r="J242" s="39">
        <f>E242*$G$3</f>
        <v/>
      </c>
      <c r="K242" s="39">
        <f>G242*$G$3</f>
        <v/>
      </c>
      <c r="L242" s="40">
        <f>I242-G242</f>
        <v/>
      </c>
      <c r="M242" s="4">
        <f>IFERROR(L242/G242,0)</f>
        <v/>
      </c>
      <c r="N242" s="21" t="n"/>
      <c r="O242" s="21" t="n"/>
      <c r="P242" s="4">
        <f>IFERROR(O242/N242,0)</f>
        <v/>
      </c>
    </row>
    <row r="243">
      <c r="A243" s="23" t="n"/>
      <c r="B243" s="36" t="n"/>
      <c r="C243" s="1">
        <f>C242+1</f>
        <v/>
      </c>
      <c r="D243" s="21" t="n"/>
      <c r="E243" s="39">
        <f>D243+E242+J242</f>
        <v/>
      </c>
      <c r="F243" s="39">
        <f>IF(I242=0,(F242*$G$3+F242)-D242,I242-D242)</f>
        <v/>
      </c>
      <c r="G243" s="39">
        <f>IF(I242=0,0,I242-D242)</f>
        <v/>
      </c>
      <c r="H243" s="39">
        <f>(E243*$G$3)+E243</f>
        <v/>
      </c>
      <c r="I243" s="41" t="n"/>
      <c r="J243" s="39">
        <f>E243*$G$3</f>
        <v/>
      </c>
      <c r="K243" s="39">
        <f>G243*$G$3</f>
        <v/>
      </c>
      <c r="L243" s="40">
        <f>I243-G243</f>
        <v/>
      </c>
      <c r="M243" s="4">
        <f>IFERROR(L243/G243,0)</f>
        <v/>
      </c>
      <c r="N243" s="21" t="n"/>
      <c r="O243" s="21" t="n"/>
      <c r="P243" s="4">
        <f>IFERROR(O243/N243,0)</f>
        <v/>
      </c>
    </row>
    <row r="244">
      <c r="A244" s="23" t="n"/>
      <c r="B244" s="36" t="n"/>
      <c r="C244" s="1">
        <f>C243+1</f>
        <v/>
      </c>
      <c r="D244" s="21" t="n"/>
      <c r="E244" s="39">
        <f>D244+E243+J243</f>
        <v/>
      </c>
      <c r="F244" s="39">
        <f>IF(I243=0,(F243*$G$3+F243)-D243,I243-D243)</f>
        <v/>
      </c>
      <c r="G244" s="39">
        <f>IF(I243=0,0,I243-D243)</f>
        <v/>
      </c>
      <c r="H244" s="39">
        <f>(E244*$G$3)+E244</f>
        <v/>
      </c>
      <c r="I244" s="41" t="n"/>
      <c r="J244" s="39">
        <f>E244*$G$3</f>
        <v/>
      </c>
      <c r="K244" s="39">
        <f>G244*$G$3</f>
        <v/>
      </c>
      <c r="L244" s="40">
        <f>I244-G244</f>
        <v/>
      </c>
      <c r="M244" s="4">
        <f>IFERROR(L244/G244,0)</f>
        <v/>
      </c>
      <c r="N244" s="21" t="n"/>
      <c r="O244" s="21" t="n"/>
      <c r="P244" s="4">
        <f>IFERROR(O244/N244,0)</f>
        <v/>
      </c>
    </row>
    <row r="245">
      <c r="A245" s="23" t="n"/>
      <c r="B245" s="36" t="n"/>
      <c r="C245" s="1">
        <f>C244+1</f>
        <v/>
      </c>
      <c r="D245" s="21" t="n"/>
      <c r="E245" s="39">
        <f>D245+E244+J244</f>
        <v/>
      </c>
      <c r="F245" s="39">
        <f>IF(I244=0,(F244*$G$3+F244)-D244,I244-D244)</f>
        <v/>
      </c>
      <c r="G245" s="39">
        <f>IF(I244=0,0,I244-D244)</f>
        <v/>
      </c>
      <c r="H245" s="39">
        <f>(E245*$G$3)+E245</f>
        <v/>
      </c>
      <c r="I245" s="41" t="n"/>
      <c r="J245" s="39">
        <f>E245*$G$3</f>
        <v/>
      </c>
      <c r="K245" s="39">
        <f>G245*$G$3</f>
        <v/>
      </c>
      <c r="L245" s="40">
        <f>I245-G245</f>
        <v/>
      </c>
      <c r="M245" s="4">
        <f>IFERROR(L245/G245,0)</f>
        <v/>
      </c>
      <c r="N245" s="21" t="n"/>
      <c r="O245" s="21" t="n"/>
      <c r="P245" s="4">
        <f>IFERROR(O245/N245,0)</f>
        <v/>
      </c>
    </row>
    <row r="246">
      <c r="A246" s="23" t="n"/>
      <c r="B246" s="36" t="n"/>
      <c r="C246" s="1">
        <f>C245+1</f>
        <v/>
      </c>
      <c r="D246" s="21" t="n"/>
      <c r="E246" s="39">
        <f>D246+E245+J245</f>
        <v/>
      </c>
      <c r="F246" s="39">
        <f>IF(I245=0,(F245*$G$3+F245)-D245,I245-D245)</f>
        <v/>
      </c>
      <c r="G246" s="39">
        <f>IF(I245=0,0,I245-D245)</f>
        <v/>
      </c>
      <c r="H246" s="39">
        <f>(E246*$G$3)+E246</f>
        <v/>
      </c>
      <c r="I246" s="41" t="n"/>
      <c r="J246" s="39">
        <f>E246*$G$3</f>
        <v/>
      </c>
      <c r="K246" s="39">
        <f>G246*$G$3</f>
        <v/>
      </c>
      <c r="L246" s="40">
        <f>I246-G246</f>
        <v/>
      </c>
      <c r="M246" s="4">
        <f>IFERROR(L246/G246,0)</f>
        <v/>
      </c>
      <c r="N246" s="21" t="n"/>
      <c r="O246" s="21" t="n"/>
      <c r="P246" s="4">
        <f>IFERROR(O246/N246,0)</f>
        <v/>
      </c>
    </row>
    <row r="247">
      <c r="A247" s="23" t="n"/>
      <c r="B247" s="36" t="n"/>
      <c r="C247" s="1">
        <f>C246+1</f>
        <v/>
      </c>
      <c r="D247" s="21" t="n"/>
      <c r="E247" s="39">
        <f>D247+E246+J246</f>
        <v/>
      </c>
      <c r="F247" s="39">
        <f>IF(I246=0,(F246*$G$3+F246)-D246,I246-D246)</f>
        <v/>
      </c>
      <c r="G247" s="39">
        <f>IF(I246=0,0,I246-D246)</f>
        <v/>
      </c>
      <c r="H247" s="39">
        <f>(E247*$G$3)+E247</f>
        <v/>
      </c>
      <c r="I247" s="41" t="n"/>
      <c r="J247" s="39">
        <f>E247*$G$3</f>
        <v/>
      </c>
      <c r="K247" s="39">
        <f>G247*$G$3</f>
        <v/>
      </c>
      <c r="L247" s="40">
        <f>I247-G247</f>
        <v/>
      </c>
      <c r="M247" s="4">
        <f>IFERROR(L247/G247,0)</f>
        <v/>
      </c>
      <c r="N247" s="21" t="n"/>
      <c r="O247" s="21" t="n"/>
      <c r="P247" s="4">
        <f>IFERROR(O247/N247,0)</f>
        <v/>
      </c>
    </row>
    <row r="248">
      <c r="A248" s="23" t="n"/>
      <c r="B248" s="36" t="n"/>
      <c r="C248" s="1">
        <f>C247+1</f>
        <v/>
      </c>
      <c r="D248" s="21" t="n"/>
      <c r="E248" s="39">
        <f>D248+E247+J247</f>
        <v/>
      </c>
      <c r="F248" s="39">
        <f>IF(I247=0,(F247*$G$3+F247)-D247,I247-D247)</f>
        <v/>
      </c>
      <c r="G248" s="39">
        <f>IF(I247=0,0,I247-D247)</f>
        <v/>
      </c>
      <c r="H248" s="39">
        <f>(E248*$G$3)+E248</f>
        <v/>
      </c>
      <c r="I248" s="41" t="n"/>
      <c r="J248" s="39">
        <f>E248*$G$3</f>
        <v/>
      </c>
      <c r="K248" s="39">
        <f>G248*$G$3</f>
        <v/>
      </c>
      <c r="L248" s="40">
        <f>I248-G248</f>
        <v/>
      </c>
      <c r="M248" s="4">
        <f>IFERROR(L248/G248,0)</f>
        <v/>
      </c>
      <c r="N248" s="21" t="n"/>
      <c r="O248" s="21" t="n"/>
      <c r="P248" s="4">
        <f>IFERROR(O248/N248,0)</f>
        <v/>
      </c>
    </row>
    <row r="249">
      <c r="A249" s="23" t="n"/>
      <c r="B249" s="36" t="n"/>
      <c r="C249" s="1">
        <f>C248+1</f>
        <v/>
      </c>
      <c r="D249" s="21" t="n"/>
      <c r="E249" s="39">
        <f>D249+E248+J248</f>
        <v/>
      </c>
      <c r="F249" s="39">
        <f>IF(I248=0,(F248*$G$3+F248)-D248,I248-D248)</f>
        <v/>
      </c>
      <c r="G249" s="39">
        <f>IF(I248=0,0,I248-D248)</f>
        <v/>
      </c>
      <c r="H249" s="39">
        <f>(E249*$G$3)+E249</f>
        <v/>
      </c>
      <c r="I249" s="41" t="n"/>
      <c r="J249" s="39">
        <f>E249*$G$3</f>
        <v/>
      </c>
      <c r="K249" s="39">
        <f>G249*$G$3</f>
        <v/>
      </c>
      <c r="L249" s="40">
        <f>I249-G249</f>
        <v/>
      </c>
      <c r="M249" s="4">
        <f>IFERROR(L249/G249,0)</f>
        <v/>
      </c>
      <c r="N249" s="21" t="n"/>
      <c r="O249" s="21" t="n"/>
      <c r="P249" s="4">
        <f>IFERROR(O249/N249,0)</f>
        <v/>
      </c>
    </row>
    <row r="250">
      <c r="A250" s="23" t="n"/>
      <c r="B250" s="36" t="n"/>
      <c r="C250" s="1">
        <f>C249+1</f>
        <v/>
      </c>
      <c r="D250" s="21" t="n"/>
      <c r="E250" s="39">
        <f>D250+E249+J249</f>
        <v/>
      </c>
      <c r="F250" s="39">
        <f>IF(I249=0,(F249*$G$3+F249)-D249,I249-D249)</f>
        <v/>
      </c>
      <c r="G250" s="39">
        <f>IF(I249=0,0,I249-D249)</f>
        <v/>
      </c>
      <c r="H250" s="39">
        <f>(E250*$G$3)+E250</f>
        <v/>
      </c>
      <c r="I250" s="41" t="n"/>
      <c r="J250" s="39">
        <f>E250*$G$3</f>
        <v/>
      </c>
      <c r="K250" s="39">
        <f>G250*$G$3</f>
        <v/>
      </c>
      <c r="L250" s="40">
        <f>I250-G250</f>
        <v/>
      </c>
      <c r="M250" s="4">
        <f>IFERROR(L250/G250,0)</f>
        <v/>
      </c>
      <c r="N250" s="21" t="n"/>
      <c r="O250" s="21" t="n"/>
      <c r="P250" s="4">
        <f>IFERROR(O250/N250,0)</f>
        <v/>
      </c>
    </row>
    <row r="251">
      <c r="A251" s="23" t="n"/>
      <c r="B251" s="36" t="n"/>
      <c r="C251" s="1">
        <f>C250+1</f>
        <v/>
      </c>
      <c r="D251" s="21" t="n"/>
      <c r="E251" s="39">
        <f>D251+E250+J250</f>
        <v/>
      </c>
      <c r="F251" s="39">
        <f>IF(I250=0,(F250*$G$3+F250)-D250,I250-D250)</f>
        <v/>
      </c>
      <c r="G251" s="39">
        <f>IF(I250=0,0,I250-D250)</f>
        <v/>
      </c>
      <c r="H251" s="39">
        <f>(E251*$G$3)+E251</f>
        <v/>
      </c>
      <c r="I251" s="41" t="n"/>
      <c r="J251" s="39">
        <f>E251*$G$3</f>
        <v/>
      </c>
      <c r="K251" s="39">
        <f>G251*$G$3</f>
        <v/>
      </c>
      <c r="L251" s="40">
        <f>I251-G251</f>
        <v/>
      </c>
      <c r="M251" s="4">
        <f>IFERROR(L251/G251,0)</f>
        <v/>
      </c>
      <c r="N251" s="21" t="n"/>
      <c r="O251" s="21" t="n"/>
      <c r="P251" s="4">
        <f>IFERROR(O251/N251,0)</f>
        <v/>
      </c>
    </row>
    <row r="252">
      <c r="A252" s="23" t="n"/>
      <c r="B252" s="36" t="n"/>
      <c r="C252" s="1">
        <f>C251+1</f>
        <v/>
      </c>
      <c r="D252" s="21" t="n"/>
      <c r="E252" s="39">
        <f>D252+E251+J251</f>
        <v/>
      </c>
      <c r="F252" s="39">
        <f>IF(I251=0,(F251*$G$3+F251)-D251,I251-D251)</f>
        <v/>
      </c>
      <c r="G252" s="39">
        <f>IF(I251=0,0,I251-D251)</f>
        <v/>
      </c>
      <c r="H252" s="39">
        <f>(E252*$G$3)+E252</f>
        <v/>
      </c>
      <c r="I252" s="41" t="n"/>
      <c r="J252" s="39">
        <f>E252*$G$3</f>
        <v/>
      </c>
      <c r="K252" s="39">
        <f>G252*$G$3</f>
        <v/>
      </c>
      <c r="L252" s="40">
        <f>I252-G252</f>
        <v/>
      </c>
      <c r="M252" s="4">
        <f>IFERROR(L252/G252,0)</f>
        <v/>
      </c>
      <c r="N252" s="21" t="n"/>
      <c r="O252" s="21" t="n"/>
      <c r="P252" s="4">
        <f>IFERROR(O252/N252,0)</f>
        <v/>
      </c>
    </row>
    <row r="253">
      <c r="A253" s="23" t="n"/>
      <c r="B253" s="36" t="n"/>
      <c r="C253" s="1">
        <f>C252+1</f>
        <v/>
      </c>
      <c r="D253" s="21" t="n"/>
      <c r="E253" s="39">
        <f>D253+E252+J252</f>
        <v/>
      </c>
      <c r="F253" s="39">
        <f>IF(I252=0,(F252*$G$3+F252)-D252,I252-D252)</f>
        <v/>
      </c>
      <c r="G253" s="39">
        <f>IF(I252=0,0,I252-D252)</f>
        <v/>
      </c>
      <c r="H253" s="39">
        <f>(E253*$G$3)+E253</f>
        <v/>
      </c>
      <c r="I253" s="41" t="n"/>
      <c r="J253" s="39">
        <f>E253*$G$3</f>
        <v/>
      </c>
      <c r="K253" s="39">
        <f>G253*$G$3</f>
        <v/>
      </c>
      <c r="L253" s="40">
        <f>I253-G253</f>
        <v/>
      </c>
      <c r="M253" s="4">
        <f>IFERROR(L253/G253,0)</f>
        <v/>
      </c>
      <c r="N253" s="21" t="n"/>
      <c r="O253" s="21" t="n"/>
      <c r="P253" s="4">
        <f>IFERROR(O253/N253,0)</f>
        <v/>
      </c>
    </row>
    <row r="254">
      <c r="A254" s="23" t="n"/>
      <c r="B254" s="36" t="n"/>
      <c r="C254" s="1">
        <f>C253+1</f>
        <v/>
      </c>
      <c r="D254" s="21" t="n"/>
      <c r="E254" s="39">
        <f>D254+E253+J253</f>
        <v/>
      </c>
      <c r="F254" s="39">
        <f>IF(I253=0,(F253*$G$3+F253)-D253,I253-D253)</f>
        <v/>
      </c>
      <c r="G254" s="39">
        <f>IF(I253=0,0,I253-D253)</f>
        <v/>
      </c>
      <c r="H254" s="39">
        <f>(E254*$G$3)+E254</f>
        <v/>
      </c>
      <c r="I254" s="41" t="n"/>
      <c r="J254" s="39">
        <f>E254*$G$3</f>
        <v/>
      </c>
      <c r="K254" s="39">
        <f>G254*$G$3</f>
        <v/>
      </c>
      <c r="L254" s="40">
        <f>I254-G254</f>
        <v/>
      </c>
      <c r="M254" s="4">
        <f>IFERROR(L254/G254,0)</f>
        <v/>
      </c>
      <c r="N254" s="21" t="n"/>
      <c r="O254" s="21" t="n"/>
      <c r="P254" s="4">
        <f>IFERROR(O254/N254,0)</f>
        <v/>
      </c>
    </row>
    <row r="255">
      <c r="A255" s="23" t="n"/>
      <c r="B255" s="36" t="n"/>
      <c r="C255" s="1">
        <f>C254+1</f>
        <v/>
      </c>
      <c r="D255" s="21" t="n"/>
      <c r="E255" s="39">
        <f>D255+E254+J254</f>
        <v/>
      </c>
      <c r="F255" s="39">
        <f>IF(I254=0,(F254*$G$3+F254)-D254,I254-D254)</f>
        <v/>
      </c>
      <c r="G255" s="39">
        <f>IF(I254=0,0,I254-D254)</f>
        <v/>
      </c>
      <c r="H255" s="39">
        <f>(E255*$G$3)+E255</f>
        <v/>
      </c>
      <c r="I255" s="41" t="n"/>
      <c r="J255" s="39">
        <f>E255*$G$3</f>
        <v/>
      </c>
      <c r="K255" s="39">
        <f>G255*$G$3</f>
        <v/>
      </c>
      <c r="L255" s="40">
        <f>I255-G255</f>
        <v/>
      </c>
      <c r="M255" s="4">
        <f>IFERROR(L255/G255,0)</f>
        <v/>
      </c>
      <c r="N255" s="21" t="n"/>
      <c r="O255" s="21" t="n"/>
      <c r="P255" s="4">
        <f>IFERROR(O255/N255,0)</f>
        <v/>
      </c>
    </row>
    <row r="256">
      <c r="A256" s="23" t="n"/>
      <c r="B256" s="36" t="n"/>
      <c r="C256" s="1">
        <f>C255+1</f>
        <v/>
      </c>
      <c r="D256" s="21" t="n"/>
      <c r="E256" s="39">
        <f>D256+E255+J255</f>
        <v/>
      </c>
      <c r="F256" s="39">
        <f>IF(I255=0,(F255*$G$3+F255)-D255,I255-D255)</f>
        <v/>
      </c>
      <c r="G256" s="39">
        <f>IF(I255=0,0,I255-D255)</f>
        <v/>
      </c>
      <c r="H256" s="39">
        <f>(E256*$G$3)+E256</f>
        <v/>
      </c>
      <c r="I256" s="41" t="n"/>
      <c r="J256" s="39">
        <f>E256*$G$3</f>
        <v/>
      </c>
      <c r="K256" s="39">
        <f>G256*$G$3</f>
        <v/>
      </c>
      <c r="L256" s="40">
        <f>I256-G256</f>
        <v/>
      </c>
      <c r="M256" s="4">
        <f>IFERROR(L256/G256,0)</f>
        <v/>
      </c>
      <c r="N256" s="21" t="n"/>
      <c r="O256" s="21" t="n"/>
      <c r="P256" s="4">
        <f>IFERROR(O256/N256,0)</f>
        <v/>
      </c>
    </row>
    <row r="257">
      <c r="A257" s="23" t="n"/>
      <c r="B257" s="36" t="n"/>
      <c r="C257" s="1">
        <f>C256+1</f>
        <v/>
      </c>
      <c r="D257" s="21" t="n"/>
      <c r="E257" s="39">
        <f>D257+E256+J256</f>
        <v/>
      </c>
      <c r="F257" s="39">
        <f>IF(I256=0,(F256*$G$3+F256)-D256,I256-D256)</f>
        <v/>
      </c>
      <c r="G257" s="39">
        <f>IF(I256=0,0,I256-D256)</f>
        <v/>
      </c>
      <c r="H257" s="39">
        <f>(E257*$G$3)+E257</f>
        <v/>
      </c>
      <c r="I257" s="41" t="n"/>
      <c r="J257" s="39">
        <f>E257*$G$3</f>
        <v/>
      </c>
      <c r="K257" s="39">
        <f>G257*$G$3</f>
        <v/>
      </c>
      <c r="L257" s="40">
        <f>I257-G257</f>
        <v/>
      </c>
      <c r="M257" s="4">
        <f>IFERROR(L257/G257,0)</f>
        <v/>
      </c>
      <c r="N257" s="21" t="n"/>
      <c r="O257" s="21" t="n"/>
      <c r="P257" s="4">
        <f>IFERROR(O257/N257,0)</f>
        <v/>
      </c>
    </row>
    <row r="258">
      <c r="A258" s="23" t="n"/>
      <c r="B258" s="36" t="n"/>
      <c r="C258" s="1">
        <f>C257+1</f>
        <v/>
      </c>
      <c r="D258" s="21" t="n"/>
      <c r="E258" s="39">
        <f>D258+E257+J257</f>
        <v/>
      </c>
      <c r="F258" s="39">
        <f>IF(I257=0,(F257*$G$3+F257)-D257,I257-D257)</f>
        <v/>
      </c>
      <c r="G258" s="39">
        <f>IF(I257=0,0,I257-D257)</f>
        <v/>
      </c>
      <c r="H258" s="39">
        <f>(E258*$G$3)+E258</f>
        <v/>
      </c>
      <c r="I258" s="41" t="n"/>
      <c r="J258" s="39">
        <f>E258*$G$3</f>
        <v/>
      </c>
      <c r="K258" s="39">
        <f>G258*$G$3</f>
        <v/>
      </c>
      <c r="L258" s="40">
        <f>I258-G258</f>
        <v/>
      </c>
      <c r="M258" s="4">
        <f>IFERROR(L258/G258,0)</f>
        <v/>
      </c>
      <c r="N258" s="21" t="n"/>
      <c r="O258" s="21" t="n"/>
      <c r="P258" s="4">
        <f>IFERROR(O258/N258,0)</f>
        <v/>
      </c>
    </row>
    <row r="259">
      <c r="A259" s="23" t="n"/>
      <c r="B259" s="36" t="n"/>
      <c r="C259" s="1">
        <f>C258+1</f>
        <v/>
      </c>
      <c r="D259" s="21" t="n"/>
      <c r="E259" s="39">
        <f>D259+E258+J258</f>
        <v/>
      </c>
      <c r="F259" s="39">
        <f>IF(I258=0,(F258*$G$3+F258)-D258,I258-D258)</f>
        <v/>
      </c>
      <c r="G259" s="39">
        <f>IF(I258=0,0,I258-D258)</f>
        <v/>
      </c>
      <c r="H259" s="39">
        <f>(E259*$G$3)+E259</f>
        <v/>
      </c>
      <c r="I259" s="41" t="n"/>
      <c r="J259" s="39">
        <f>E259*$G$3</f>
        <v/>
      </c>
      <c r="K259" s="39">
        <f>G259*$G$3</f>
        <v/>
      </c>
      <c r="L259" s="40">
        <f>I259-G259</f>
        <v/>
      </c>
      <c r="M259" s="4">
        <f>IFERROR(L259/G259,0)</f>
        <v/>
      </c>
      <c r="N259" s="21" t="n"/>
      <c r="O259" s="21" t="n"/>
      <c r="P259" s="4">
        <f>IFERROR(O259/N259,0)</f>
        <v/>
      </c>
    </row>
    <row r="260">
      <c r="A260" s="23" t="n"/>
      <c r="B260" s="36" t="n"/>
      <c r="C260" s="1">
        <f>C259+1</f>
        <v/>
      </c>
      <c r="D260" s="21" t="n"/>
      <c r="E260" s="39">
        <f>D260+E259+J259</f>
        <v/>
      </c>
      <c r="F260" s="39">
        <f>IF(I259=0,(F259*$G$3+F259)-D259,I259-D259)</f>
        <v/>
      </c>
      <c r="G260" s="39">
        <f>IF(I259=0,0,I259-D259)</f>
        <v/>
      </c>
      <c r="H260" s="39">
        <f>(E260*$G$3)+E260</f>
        <v/>
      </c>
      <c r="I260" s="41" t="n"/>
      <c r="J260" s="39">
        <f>E260*$G$3</f>
        <v/>
      </c>
      <c r="K260" s="39">
        <f>G260*$G$3</f>
        <v/>
      </c>
      <c r="L260" s="40">
        <f>I260-G260</f>
        <v/>
      </c>
      <c r="M260" s="4">
        <f>IFERROR(L260/G260,0)</f>
        <v/>
      </c>
      <c r="N260" s="21" t="n"/>
      <c r="O260" s="21" t="n"/>
      <c r="P260" s="4">
        <f>IFERROR(O260/N260,0)</f>
        <v/>
      </c>
    </row>
    <row r="261">
      <c r="A261" s="23" t="n"/>
      <c r="B261" s="36" t="n"/>
      <c r="C261" s="1">
        <f>C260+1</f>
        <v/>
      </c>
      <c r="D261" s="21" t="n"/>
      <c r="E261" s="39">
        <f>D261+E260+J260</f>
        <v/>
      </c>
      <c r="F261" s="39">
        <f>IF(I260=0,(F260*$G$3+F260)-D260,I260-D260)</f>
        <v/>
      </c>
      <c r="G261" s="39">
        <f>IF(I260=0,0,I260-D260)</f>
        <v/>
      </c>
      <c r="H261" s="39">
        <f>(E261*$G$3)+E261</f>
        <v/>
      </c>
      <c r="I261" s="41" t="n"/>
      <c r="J261" s="39">
        <f>E261*$G$3</f>
        <v/>
      </c>
      <c r="K261" s="39">
        <f>G261*$G$3</f>
        <v/>
      </c>
      <c r="L261" s="40">
        <f>I261-G261</f>
        <v/>
      </c>
      <c r="M261" s="4">
        <f>IFERROR(L261/G261,0)</f>
        <v/>
      </c>
      <c r="N261" s="21" t="n"/>
      <c r="O261" s="21" t="n"/>
      <c r="P261" s="4">
        <f>IFERROR(O261/N261,0)</f>
        <v/>
      </c>
    </row>
    <row r="262">
      <c r="A262" s="23" t="n"/>
      <c r="B262" s="36" t="n"/>
      <c r="C262" s="1">
        <f>C261+1</f>
        <v/>
      </c>
      <c r="D262" s="21" t="n"/>
      <c r="E262" s="39">
        <f>D262+E261+J261</f>
        <v/>
      </c>
      <c r="F262" s="39">
        <f>IF(I261=0,(F261*$G$3+F261)-D261,I261-D261)</f>
        <v/>
      </c>
      <c r="G262" s="39">
        <f>IF(I261=0,0,I261-D261)</f>
        <v/>
      </c>
      <c r="H262" s="39">
        <f>(E262*$G$3)+E262</f>
        <v/>
      </c>
      <c r="I262" s="41" t="n"/>
      <c r="J262" s="39">
        <f>E262*$G$3</f>
        <v/>
      </c>
      <c r="K262" s="39">
        <f>G262*$G$3</f>
        <v/>
      </c>
      <c r="L262" s="40">
        <f>I262-G262</f>
        <v/>
      </c>
      <c r="M262" s="4">
        <f>IFERROR(L262/G262,0)</f>
        <v/>
      </c>
      <c r="N262" s="21" t="n"/>
      <c r="O262" s="21" t="n"/>
      <c r="P262" s="4">
        <f>IFERROR(O262/N262,0)</f>
        <v/>
      </c>
    </row>
    <row r="263">
      <c r="A263" s="23" t="n"/>
      <c r="B263" s="36" t="n"/>
      <c r="C263" s="1">
        <f>C262+1</f>
        <v/>
      </c>
      <c r="D263" s="21" t="n"/>
      <c r="E263" s="39">
        <f>D263+E262+J262</f>
        <v/>
      </c>
      <c r="F263" s="39">
        <f>IF(I262=0,(F262*$G$3+F262)-D262,I262-D262)</f>
        <v/>
      </c>
      <c r="G263" s="39">
        <f>IF(I262=0,0,I262-D262)</f>
        <v/>
      </c>
      <c r="H263" s="39">
        <f>(E263*$G$3)+E263</f>
        <v/>
      </c>
      <c r="I263" s="41" t="n"/>
      <c r="J263" s="39">
        <f>E263*$G$3</f>
        <v/>
      </c>
      <c r="K263" s="39">
        <f>G263*$G$3</f>
        <v/>
      </c>
      <c r="L263" s="40">
        <f>I263-G263</f>
        <v/>
      </c>
      <c r="M263" s="4">
        <f>IFERROR(L263/G263,0)</f>
        <v/>
      </c>
      <c r="N263" s="21" t="n"/>
      <c r="O263" s="21" t="n"/>
      <c r="P263" s="4">
        <f>IFERROR(O263/N263,0)</f>
        <v/>
      </c>
    </row>
    <row r="264">
      <c r="A264" s="23" t="n"/>
      <c r="B264" s="36" t="n"/>
      <c r="C264" s="1">
        <f>C263+1</f>
        <v/>
      </c>
      <c r="D264" s="21" t="n"/>
      <c r="E264" s="39">
        <f>D264+E263+J263</f>
        <v/>
      </c>
      <c r="F264" s="39">
        <f>IF(I263=0,(F263*$G$3+F263)-D263,I263-D263)</f>
        <v/>
      </c>
      <c r="G264" s="39">
        <f>IF(I263=0,0,I263-D263)</f>
        <v/>
      </c>
      <c r="H264" s="39">
        <f>(E264*$G$3)+E264</f>
        <v/>
      </c>
      <c r="I264" s="41" t="n"/>
      <c r="J264" s="39">
        <f>E264*$G$3</f>
        <v/>
      </c>
      <c r="K264" s="39">
        <f>G264*$G$3</f>
        <v/>
      </c>
      <c r="L264" s="40">
        <f>I264-G264</f>
        <v/>
      </c>
      <c r="M264" s="4">
        <f>IFERROR(L264/G264,0)</f>
        <v/>
      </c>
      <c r="N264" s="21" t="n"/>
      <c r="O264" s="21" t="n"/>
      <c r="P264" s="4">
        <f>IFERROR(O264/N264,0)</f>
        <v/>
      </c>
    </row>
    <row r="265">
      <c r="A265" s="23" t="n"/>
      <c r="B265" s="36" t="n"/>
      <c r="C265" s="1">
        <f>C264+1</f>
        <v/>
      </c>
      <c r="D265" s="21" t="n"/>
      <c r="E265" s="39">
        <f>D265+E264+J264</f>
        <v/>
      </c>
      <c r="F265" s="39">
        <f>IF(I264=0,(F264*$G$3+F264)-D264,I264-D264)</f>
        <v/>
      </c>
      <c r="G265" s="39">
        <f>IF(I264=0,0,I264-D264)</f>
        <v/>
      </c>
      <c r="H265" s="39">
        <f>(E265*$G$3)+E265</f>
        <v/>
      </c>
      <c r="I265" s="41" t="n"/>
      <c r="J265" s="39">
        <f>E265*$G$3</f>
        <v/>
      </c>
      <c r="K265" s="39">
        <f>G265*$G$3</f>
        <v/>
      </c>
      <c r="L265" s="40">
        <f>I265-G265</f>
        <v/>
      </c>
      <c r="M265" s="4">
        <f>IFERROR(L265/G265,0)</f>
        <v/>
      </c>
      <c r="N265" s="21" t="n"/>
      <c r="O265" s="21" t="n"/>
      <c r="P265" s="4">
        <f>IFERROR(O265/N265,0)</f>
        <v/>
      </c>
    </row>
    <row r="266">
      <c r="A266" s="23" t="n"/>
      <c r="B266" s="36" t="n"/>
      <c r="C266" s="1">
        <f>C265+1</f>
        <v/>
      </c>
      <c r="D266" s="21" t="n"/>
      <c r="E266" s="39">
        <f>D266+E265+J265</f>
        <v/>
      </c>
      <c r="F266" s="39">
        <f>IF(I265=0,(F265*$G$3+F265)-D265,I265-D265)</f>
        <v/>
      </c>
      <c r="G266" s="39">
        <f>IF(I265=0,0,I265-D265)</f>
        <v/>
      </c>
      <c r="H266" s="39">
        <f>(E266*$G$3)+E266</f>
        <v/>
      </c>
      <c r="I266" s="41" t="n"/>
      <c r="J266" s="39">
        <f>E266*$G$3</f>
        <v/>
      </c>
      <c r="K266" s="39">
        <f>G266*$G$3</f>
        <v/>
      </c>
      <c r="L266" s="40">
        <f>I266-G266</f>
        <v/>
      </c>
      <c r="M266" s="4">
        <f>IFERROR(L266/G266,0)</f>
        <v/>
      </c>
      <c r="N266" s="21" t="n"/>
      <c r="O266" s="21" t="n"/>
      <c r="P266" s="4">
        <f>IFERROR(O266/N266,0)</f>
        <v/>
      </c>
    </row>
    <row r="267">
      <c r="A267" s="23" t="n"/>
      <c r="B267" s="36" t="n"/>
      <c r="C267" s="1">
        <f>C266+1</f>
        <v/>
      </c>
      <c r="D267" s="21" t="n"/>
      <c r="E267" s="39">
        <f>D267+E266+J266</f>
        <v/>
      </c>
      <c r="F267" s="39">
        <f>IF(I266=0,(F266*$G$3+F266)-D266,I266-D266)</f>
        <v/>
      </c>
      <c r="G267" s="39">
        <f>IF(I266=0,0,I266-D266)</f>
        <v/>
      </c>
      <c r="H267" s="39">
        <f>(E267*$G$3)+E267</f>
        <v/>
      </c>
      <c r="I267" s="41" t="n"/>
      <c r="J267" s="39">
        <f>E267*$G$3</f>
        <v/>
      </c>
      <c r="K267" s="39">
        <f>G267*$G$3</f>
        <v/>
      </c>
      <c r="L267" s="40">
        <f>I267-G267</f>
        <v/>
      </c>
      <c r="M267" s="4">
        <f>IFERROR(L267/G267,0)</f>
        <v/>
      </c>
      <c r="N267" s="21" t="n"/>
      <c r="O267" s="21" t="n"/>
      <c r="P267" s="4">
        <f>IFERROR(O267/N267,0)</f>
        <v/>
      </c>
    </row>
    <row r="268">
      <c r="A268" s="23" t="n"/>
      <c r="B268" s="36" t="n"/>
      <c r="C268" s="1">
        <f>C267+1</f>
        <v/>
      </c>
      <c r="D268" s="21" t="n"/>
      <c r="E268" s="39">
        <f>D268+E267+J267</f>
        <v/>
      </c>
      <c r="F268" s="39">
        <f>IF(I267=0,(F267*$G$3+F267)-D267,I267-D267)</f>
        <v/>
      </c>
      <c r="G268" s="39">
        <f>IF(I267=0,0,I267-D267)</f>
        <v/>
      </c>
      <c r="H268" s="39">
        <f>(E268*$G$3)+E268</f>
        <v/>
      </c>
      <c r="I268" s="41" t="n"/>
      <c r="J268" s="39">
        <f>E268*$G$3</f>
        <v/>
      </c>
      <c r="K268" s="39">
        <f>G268*$G$3</f>
        <v/>
      </c>
      <c r="L268" s="40">
        <f>I268-G268</f>
        <v/>
      </c>
      <c r="M268" s="4">
        <f>IFERROR(L268/G268,0)</f>
        <v/>
      </c>
      <c r="N268" s="21" t="n"/>
      <c r="O268" s="21" t="n"/>
      <c r="P268" s="4">
        <f>IFERROR(O268/N268,0)</f>
        <v/>
      </c>
    </row>
    <row r="269">
      <c r="C269" s="1" t="n"/>
    </row>
    <row r="270">
      <c r="C270" s="1" t="n"/>
    </row>
  </sheetData>
  <mergeCells count="272">
    <mergeCell ref="A186:B186"/>
    <mergeCell ref="A64:B64"/>
    <mergeCell ref="A257:B257"/>
    <mergeCell ref="A191:B191"/>
    <mergeCell ref="A226:B226"/>
    <mergeCell ref="A98:B98"/>
    <mergeCell ref="A73:B73"/>
    <mergeCell ref="A107:B107"/>
    <mergeCell ref="A51:B51"/>
    <mergeCell ref="A178:B178"/>
    <mergeCell ref="A88:B88"/>
    <mergeCell ref="A70:B70"/>
    <mergeCell ref="A241:B241"/>
    <mergeCell ref="A162:B162"/>
    <mergeCell ref="A228:B228"/>
    <mergeCell ref="L3:M3"/>
    <mergeCell ref="A54:B54"/>
    <mergeCell ref="A7:B7"/>
    <mergeCell ref="A212:B212"/>
    <mergeCell ref="A172:B172"/>
    <mergeCell ref="A243:B243"/>
    <mergeCell ref="A90:B90"/>
    <mergeCell ref="A99:B99"/>
    <mergeCell ref="A164:B164"/>
    <mergeCell ref="A41:B41"/>
    <mergeCell ref="A74:B74"/>
    <mergeCell ref="A56:B56"/>
    <mergeCell ref="A27:B27"/>
    <mergeCell ref="A267:B267"/>
    <mergeCell ref="A236:B236"/>
    <mergeCell ref="A214:B214"/>
    <mergeCell ref="A154:B154"/>
    <mergeCell ref="A163:B163"/>
    <mergeCell ref="A101:B101"/>
    <mergeCell ref="A195:B195"/>
    <mergeCell ref="A251:B251"/>
    <mergeCell ref="A76:B76"/>
    <mergeCell ref="A204:B204"/>
    <mergeCell ref="A33:B33"/>
    <mergeCell ref="A85:B85"/>
    <mergeCell ref="A42:B42"/>
    <mergeCell ref="A188:B188"/>
    <mergeCell ref="A17:B17"/>
    <mergeCell ref="A259:B259"/>
    <mergeCell ref="A126:B126"/>
    <mergeCell ref="A253:B253"/>
    <mergeCell ref="A140:B140"/>
    <mergeCell ref="A231:B231"/>
    <mergeCell ref="A206:B206"/>
    <mergeCell ref="A262:B262"/>
    <mergeCell ref="A109:B109"/>
    <mergeCell ref="A240:B240"/>
    <mergeCell ref="A62:B62"/>
    <mergeCell ref="A53:B53"/>
    <mergeCell ref="A35:B35"/>
    <mergeCell ref="A22:B22"/>
    <mergeCell ref="A15:B15"/>
    <mergeCell ref="A190:B190"/>
    <mergeCell ref="A68:B68"/>
    <mergeCell ref="A19:B19"/>
    <mergeCell ref="A230:B230"/>
    <mergeCell ref="A117:B117"/>
    <mergeCell ref="A28:B28"/>
    <mergeCell ref="A111:B111"/>
    <mergeCell ref="A9:B9"/>
    <mergeCell ref="A245:B245"/>
    <mergeCell ref="C3:D3"/>
    <mergeCell ref="A39:B39"/>
    <mergeCell ref="A167:B167"/>
    <mergeCell ref="A48:B48"/>
    <mergeCell ref="A232:B232"/>
    <mergeCell ref="A30:B30"/>
    <mergeCell ref="A59:B59"/>
    <mergeCell ref="A142:B142"/>
    <mergeCell ref="A182:B182"/>
    <mergeCell ref="A11:B11"/>
    <mergeCell ref="H1:I1"/>
    <mergeCell ref="A216:B216"/>
    <mergeCell ref="A103:B103"/>
    <mergeCell ref="A45:B45"/>
    <mergeCell ref="A169:B169"/>
    <mergeCell ref="A225:B225"/>
    <mergeCell ref="A79:B79"/>
    <mergeCell ref="A61:B61"/>
    <mergeCell ref="A87:B87"/>
    <mergeCell ref="A153:B153"/>
    <mergeCell ref="A218:B218"/>
    <mergeCell ref="A227:B227"/>
    <mergeCell ref="A128:B128"/>
    <mergeCell ref="A137:B137"/>
    <mergeCell ref="A208:B208"/>
    <mergeCell ref="A177:B177"/>
    <mergeCell ref="A268:B268"/>
    <mergeCell ref="A89:B89"/>
    <mergeCell ref="A217:B217"/>
    <mergeCell ref="A46:B46"/>
    <mergeCell ref="A37:B37"/>
    <mergeCell ref="A136:B136"/>
    <mergeCell ref="A192:B192"/>
    <mergeCell ref="A105:B105"/>
    <mergeCell ref="A145:B145"/>
    <mergeCell ref="A139:B139"/>
    <mergeCell ref="A26:B26"/>
    <mergeCell ref="A210:B210"/>
    <mergeCell ref="A179:B179"/>
    <mergeCell ref="A242:B242"/>
    <mergeCell ref="A129:B129"/>
    <mergeCell ref="A71:B71"/>
    <mergeCell ref="A194:B194"/>
    <mergeCell ref="A249:B249"/>
    <mergeCell ref="A234:B234"/>
    <mergeCell ref="A203:B203"/>
    <mergeCell ref="A181:B181"/>
    <mergeCell ref="A116:B116"/>
    <mergeCell ref="A8:B8"/>
    <mergeCell ref="A184:B184"/>
    <mergeCell ref="A91:B91"/>
    <mergeCell ref="A244:B244"/>
    <mergeCell ref="A131:B131"/>
    <mergeCell ref="A100:B100"/>
    <mergeCell ref="A171:B171"/>
    <mergeCell ref="A165:B165"/>
    <mergeCell ref="A180:B180"/>
    <mergeCell ref="A52:B52"/>
    <mergeCell ref="A63:B63"/>
    <mergeCell ref="A10:B10"/>
    <mergeCell ref="A155:B155"/>
    <mergeCell ref="A115:B115"/>
    <mergeCell ref="A93:B93"/>
    <mergeCell ref="A102:B102"/>
    <mergeCell ref="A173:B173"/>
    <mergeCell ref="A229:B229"/>
    <mergeCell ref="A77:B77"/>
    <mergeCell ref="A83:B83"/>
    <mergeCell ref="A261:B261"/>
    <mergeCell ref="A143:B143"/>
    <mergeCell ref="A34:B34"/>
    <mergeCell ref="A92:B92"/>
    <mergeCell ref="A157:B157"/>
    <mergeCell ref="K1:P1"/>
    <mergeCell ref="A166:B166"/>
    <mergeCell ref="A222:B222"/>
    <mergeCell ref="A49:B49"/>
    <mergeCell ref="A207:B207"/>
    <mergeCell ref="A36:B36"/>
    <mergeCell ref="A119:B119"/>
    <mergeCell ref="A94:B94"/>
    <mergeCell ref="A168:B168"/>
    <mergeCell ref="A69:B69"/>
    <mergeCell ref="C2:E2"/>
    <mergeCell ref="A78:B78"/>
    <mergeCell ref="A256:B256"/>
    <mergeCell ref="A205:B205"/>
    <mergeCell ref="A183:B183"/>
    <mergeCell ref="A65:B65"/>
    <mergeCell ref="A246:B246"/>
    <mergeCell ref="A133:B133"/>
    <mergeCell ref="A193:B193"/>
    <mergeCell ref="A75:B75"/>
    <mergeCell ref="A264:B264"/>
    <mergeCell ref="A255:B255"/>
    <mergeCell ref="A233:B233"/>
    <mergeCell ref="A80:B80"/>
    <mergeCell ref="A120:B120"/>
    <mergeCell ref="A55:B55"/>
    <mergeCell ref="A12:B12"/>
    <mergeCell ref="A239:B239"/>
    <mergeCell ref="F2:G2"/>
    <mergeCell ref="A21:B21"/>
    <mergeCell ref="A248:B248"/>
    <mergeCell ref="A104:B104"/>
    <mergeCell ref="A175:B175"/>
    <mergeCell ref="A57:B57"/>
    <mergeCell ref="A235:B235"/>
    <mergeCell ref="A113:B113"/>
    <mergeCell ref="A5:B5"/>
    <mergeCell ref="A247:B247"/>
    <mergeCell ref="A32:B32"/>
    <mergeCell ref="A185:B185"/>
    <mergeCell ref="A14:B14"/>
    <mergeCell ref="A219:B219"/>
    <mergeCell ref="A23:B23"/>
    <mergeCell ref="A106:B106"/>
    <mergeCell ref="A200:B200"/>
    <mergeCell ref="A209:B209"/>
    <mergeCell ref="A96:B96"/>
    <mergeCell ref="A147:B147"/>
    <mergeCell ref="A38:B38"/>
    <mergeCell ref="A156:B156"/>
    <mergeCell ref="A43:B43"/>
    <mergeCell ref="A170:B170"/>
    <mergeCell ref="A202:B202"/>
    <mergeCell ref="A258:B258"/>
    <mergeCell ref="A211:B211"/>
    <mergeCell ref="A40:B40"/>
    <mergeCell ref="A67:B67"/>
    <mergeCell ref="A220:B220"/>
    <mergeCell ref="F1:G1"/>
    <mergeCell ref="A130:B130"/>
    <mergeCell ref="A24:B24"/>
    <mergeCell ref="A201:B201"/>
    <mergeCell ref="A266:B266"/>
    <mergeCell ref="A148:B148"/>
    <mergeCell ref="A82:B82"/>
    <mergeCell ref="A260:B260"/>
    <mergeCell ref="A60:B60"/>
    <mergeCell ref="C1:E1"/>
    <mergeCell ref="A123:B123"/>
    <mergeCell ref="A138:B138"/>
    <mergeCell ref="A250:B250"/>
    <mergeCell ref="A132:B132"/>
    <mergeCell ref="A197:B197"/>
    <mergeCell ref="A110:B110"/>
    <mergeCell ref="A146:B146"/>
    <mergeCell ref="A237:B237"/>
    <mergeCell ref="A124:B124"/>
    <mergeCell ref="A6:B6"/>
    <mergeCell ref="A187:B187"/>
    <mergeCell ref="A252:B252"/>
    <mergeCell ref="A16:B16"/>
    <mergeCell ref="A221:B221"/>
    <mergeCell ref="A196:B196"/>
    <mergeCell ref="A25:B25"/>
    <mergeCell ref="A174:B174"/>
    <mergeCell ref="A108:B108"/>
    <mergeCell ref="A84:B84"/>
    <mergeCell ref="A66:B66"/>
    <mergeCell ref="A149:B149"/>
    <mergeCell ref="A118:B118"/>
    <mergeCell ref="A189:B189"/>
    <mergeCell ref="A18:B18"/>
    <mergeCell ref="A158:B158"/>
    <mergeCell ref="A223:B223"/>
    <mergeCell ref="A238:B238"/>
    <mergeCell ref="A198:B198"/>
    <mergeCell ref="A50:B50"/>
    <mergeCell ref="A86:B86"/>
    <mergeCell ref="A213:B213"/>
    <mergeCell ref="A95:B95"/>
    <mergeCell ref="A151:B151"/>
    <mergeCell ref="A160:B160"/>
    <mergeCell ref="A47:B47"/>
    <mergeCell ref="A254:B254"/>
    <mergeCell ref="A141:B141"/>
    <mergeCell ref="A135:B135"/>
    <mergeCell ref="A263:B263"/>
    <mergeCell ref="A150:B150"/>
    <mergeCell ref="A144:B144"/>
    <mergeCell ref="A159:B159"/>
    <mergeCell ref="A215:B215"/>
    <mergeCell ref="A122:B122"/>
    <mergeCell ref="A97:B97"/>
    <mergeCell ref="A224:B224"/>
    <mergeCell ref="A20:B20"/>
    <mergeCell ref="A125:B125"/>
    <mergeCell ref="A72:B72"/>
    <mergeCell ref="A29:B29"/>
    <mergeCell ref="A134:B134"/>
    <mergeCell ref="A199:B199"/>
    <mergeCell ref="A112:B112"/>
    <mergeCell ref="A81:B81"/>
    <mergeCell ref="A265:B265"/>
    <mergeCell ref="A152:B152"/>
    <mergeCell ref="A121:B121"/>
    <mergeCell ref="A161:B161"/>
    <mergeCell ref="A13:B13"/>
    <mergeCell ref="A44:B44"/>
    <mergeCell ref="A127:B127"/>
    <mergeCell ref="A31:B31"/>
    <mergeCell ref="A176:B176"/>
    <mergeCell ref="A58:B58"/>
    <mergeCell ref="A114:B11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F. Osorio Sanches</dc:creator>
  <dcterms:created xsi:type="dcterms:W3CDTF">2022-11-21T01:01:57Z</dcterms:created>
  <dcterms:modified xsi:type="dcterms:W3CDTF">2025-11-15T17:41:41Z</dcterms:modified>
  <cp:lastModifiedBy>USUARIO</cp:lastModifiedBy>
</cp:coreProperties>
</file>